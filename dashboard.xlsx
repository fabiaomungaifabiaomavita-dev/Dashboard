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abiao Mungai Fabiao\Downloads\teste\"/>
    </mc:Choice>
  </mc:AlternateContent>
  <bookViews>
    <workbookView xWindow="-120" yWindow="-120" windowWidth="20730" windowHeight="11040" firstSheet="3" activeTab="6"/>
  </bookViews>
  <sheets>
    <sheet name="Vendas" sheetId="1" state="hidden" r:id="rId1"/>
    <sheet name="RH" sheetId="2" state="hidden" r:id="rId2"/>
    <sheet name="Financeiro" sheetId="3" state="hidden" r:id="rId3"/>
    <sheet name="recalaculo" sheetId="8" r:id="rId4"/>
    <sheet name="dashboard" sheetId="7" r:id="rId5"/>
    <sheet name="Sexo dos estudantes" sheetId="11" r:id="rId6"/>
    <sheet name="Plan4" sheetId="12" r:id="rId7"/>
    <sheet name="Académico" sheetId="4" r:id="rId8"/>
    <sheet name="Hospital" sheetId="5" state="hidden" r:id="rId9"/>
    <sheet name="Stock" sheetId="6" state="hidden" r:id="rId10"/>
  </sheets>
  <definedNames>
    <definedName name="SegmentaçãodeDados_Ano">#N/A</definedName>
    <definedName name="SegmentaçãodeDados_Curso">#N/A</definedName>
    <definedName name="SegmentaçãodeDados_Curso1">#N/A</definedName>
    <definedName name="SegmentaçãodeDados_Disciplina">#N/A</definedName>
    <definedName name="SegmentaçãodeDados_Docente">#N/A</definedName>
    <definedName name="SegmentaçãodeDados_Sexo">#N/A</definedName>
  </definedNames>
  <calcPr calcId="152511"/>
  <pivotCaches>
    <pivotCache cacheId="0" r:id="rId11"/>
    <pivotCache cacheId="18" r:id="rId12"/>
    <pivotCache cacheId="22" r:id="rId13"/>
  </pivotCaches>
  <extLst>
    <ext xmlns:x14="http://schemas.microsoft.com/office/spreadsheetml/2009/9/main" uri="{BBE1A952-AA13-448e-AADC-164F8A28A991}">
      <x14:slicerCaches>
        <x14:slicerCache r:id="rId14"/>
        <x14:slicerCache r:id="rId15"/>
        <x14:slicerCache r:id="rId16"/>
        <x14:slicerCache r:id="rId17"/>
        <x14:slicerCache r:id="rId18"/>
        <x14:slicerCache r:id="rId19"/>
      </x14:slicerCaches>
    </ext>
    <ext xmlns:x14="http://schemas.microsoft.com/office/spreadsheetml/2009/9/main" uri="{79F54976-1DA5-4618-B147-4CDE4B953A38}">
      <x14:workbookPr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0" i="4" l="1"/>
  <c r="G159" i="4"/>
  <c r="G158" i="4"/>
  <c r="G157" i="4"/>
  <c r="G156" i="4"/>
  <c r="R31" i="4" l="1"/>
  <c r="R119" i="4"/>
  <c r="O3" i="4"/>
  <c r="R3" i="4" s="1"/>
  <c r="O4" i="4"/>
  <c r="R4" i="4" s="1"/>
  <c r="O5" i="4"/>
  <c r="R5" i="4" s="1"/>
  <c r="O6" i="4"/>
  <c r="R6" i="4" s="1"/>
  <c r="O7" i="4"/>
  <c r="R7" i="4" s="1"/>
  <c r="O8" i="4"/>
  <c r="R8" i="4" s="1"/>
  <c r="O9" i="4"/>
  <c r="R9" i="4" s="1"/>
  <c r="O10" i="4"/>
  <c r="R10" i="4" s="1"/>
  <c r="O11" i="4"/>
  <c r="R11" i="4" s="1"/>
  <c r="O12" i="4"/>
  <c r="R12" i="4" s="1"/>
  <c r="O13" i="4"/>
  <c r="R13" i="4" s="1"/>
  <c r="O14" i="4"/>
  <c r="R14" i="4" s="1"/>
  <c r="O15" i="4"/>
  <c r="R15" i="4" s="1"/>
  <c r="O16" i="4"/>
  <c r="R16" i="4" s="1"/>
  <c r="O17" i="4"/>
  <c r="R17" i="4" s="1"/>
  <c r="O18" i="4"/>
  <c r="R18" i="4" s="1"/>
  <c r="O19" i="4"/>
  <c r="R19" i="4" s="1"/>
  <c r="O20" i="4"/>
  <c r="R20" i="4" s="1"/>
  <c r="O21" i="4"/>
  <c r="R21" i="4" s="1"/>
  <c r="O22" i="4"/>
  <c r="R22" i="4" s="1"/>
  <c r="O23" i="4"/>
  <c r="R23" i="4" s="1"/>
  <c r="O24" i="4"/>
  <c r="R24" i="4" s="1"/>
  <c r="O25" i="4"/>
  <c r="R25" i="4" s="1"/>
  <c r="O26" i="4"/>
  <c r="R26" i="4" s="1"/>
  <c r="O27" i="4"/>
  <c r="R27" i="4" s="1"/>
  <c r="O28" i="4"/>
  <c r="R28" i="4" s="1"/>
  <c r="O29" i="4"/>
  <c r="R29" i="4" s="1"/>
  <c r="O30" i="4"/>
  <c r="R30" i="4" s="1"/>
  <c r="O31" i="4"/>
  <c r="O32" i="4"/>
  <c r="R32" i="4" s="1"/>
  <c r="O33" i="4"/>
  <c r="R33" i="4" s="1"/>
  <c r="O34" i="4"/>
  <c r="R34" i="4" s="1"/>
  <c r="O35" i="4"/>
  <c r="R35" i="4" s="1"/>
  <c r="O36" i="4"/>
  <c r="R36" i="4" s="1"/>
  <c r="O37" i="4"/>
  <c r="R37" i="4" s="1"/>
  <c r="O38" i="4"/>
  <c r="R38" i="4" s="1"/>
  <c r="O39" i="4"/>
  <c r="R39" i="4" s="1"/>
  <c r="O40" i="4"/>
  <c r="R40" i="4" s="1"/>
  <c r="O41" i="4"/>
  <c r="R41" i="4" s="1"/>
  <c r="O42" i="4"/>
  <c r="R42" i="4" s="1"/>
  <c r="O43" i="4"/>
  <c r="R43" i="4" s="1"/>
  <c r="O44" i="4"/>
  <c r="R44" i="4" s="1"/>
  <c r="O45" i="4"/>
  <c r="R45" i="4" s="1"/>
  <c r="O46" i="4"/>
  <c r="R46" i="4" s="1"/>
  <c r="O47" i="4"/>
  <c r="R47" i="4" s="1"/>
  <c r="O48" i="4"/>
  <c r="R48" i="4" s="1"/>
  <c r="O49" i="4"/>
  <c r="R49" i="4" s="1"/>
  <c r="O50" i="4"/>
  <c r="R50" i="4" s="1"/>
  <c r="O51" i="4"/>
  <c r="R51" i="4" s="1"/>
  <c r="O52" i="4"/>
  <c r="R52" i="4" s="1"/>
  <c r="O53" i="4"/>
  <c r="R53" i="4" s="1"/>
  <c r="O54" i="4"/>
  <c r="R54" i="4" s="1"/>
  <c r="O55" i="4"/>
  <c r="R55" i="4" s="1"/>
  <c r="O56" i="4"/>
  <c r="R56" i="4" s="1"/>
  <c r="O57" i="4"/>
  <c r="R57" i="4" s="1"/>
  <c r="O58" i="4"/>
  <c r="R58" i="4" s="1"/>
  <c r="O59" i="4"/>
  <c r="R59" i="4" s="1"/>
  <c r="O60" i="4"/>
  <c r="R60" i="4" s="1"/>
  <c r="O61" i="4"/>
  <c r="R61" i="4" s="1"/>
  <c r="O62" i="4"/>
  <c r="R62" i="4" s="1"/>
  <c r="O63" i="4"/>
  <c r="R63" i="4" s="1"/>
  <c r="O64" i="4"/>
  <c r="R64" i="4" s="1"/>
  <c r="O65" i="4"/>
  <c r="R65" i="4" s="1"/>
  <c r="O66" i="4"/>
  <c r="R66" i="4" s="1"/>
  <c r="O67" i="4"/>
  <c r="R67" i="4" s="1"/>
  <c r="O68" i="4"/>
  <c r="R68" i="4" s="1"/>
  <c r="O69" i="4"/>
  <c r="R69" i="4" s="1"/>
  <c r="O70" i="4"/>
  <c r="R70" i="4" s="1"/>
  <c r="O71" i="4"/>
  <c r="R71" i="4" s="1"/>
  <c r="O72" i="4"/>
  <c r="R72" i="4" s="1"/>
  <c r="O73" i="4"/>
  <c r="R73" i="4" s="1"/>
  <c r="O74" i="4"/>
  <c r="R74" i="4" s="1"/>
  <c r="O75" i="4"/>
  <c r="R75" i="4" s="1"/>
  <c r="O76" i="4"/>
  <c r="R76" i="4" s="1"/>
  <c r="O77" i="4"/>
  <c r="R77" i="4" s="1"/>
  <c r="O78" i="4"/>
  <c r="R78" i="4" s="1"/>
  <c r="O79" i="4"/>
  <c r="R79" i="4" s="1"/>
  <c r="O80" i="4"/>
  <c r="R80" i="4" s="1"/>
  <c r="O81" i="4"/>
  <c r="R81" i="4" s="1"/>
  <c r="O82" i="4"/>
  <c r="R82" i="4" s="1"/>
  <c r="O83" i="4"/>
  <c r="R83" i="4" s="1"/>
  <c r="O84" i="4"/>
  <c r="R84" i="4" s="1"/>
  <c r="O85" i="4"/>
  <c r="R85" i="4" s="1"/>
  <c r="O86" i="4"/>
  <c r="R86" i="4" s="1"/>
  <c r="O87" i="4"/>
  <c r="R87" i="4" s="1"/>
  <c r="O88" i="4"/>
  <c r="R88" i="4" s="1"/>
  <c r="O89" i="4"/>
  <c r="R89" i="4" s="1"/>
  <c r="O90" i="4"/>
  <c r="R90" i="4" s="1"/>
  <c r="O91" i="4"/>
  <c r="R91" i="4" s="1"/>
  <c r="O92" i="4"/>
  <c r="R92" i="4" s="1"/>
  <c r="O93" i="4"/>
  <c r="R93" i="4" s="1"/>
  <c r="O94" i="4"/>
  <c r="R94" i="4" s="1"/>
  <c r="O95" i="4"/>
  <c r="R95" i="4" s="1"/>
  <c r="O96" i="4"/>
  <c r="R96" i="4" s="1"/>
  <c r="O97" i="4"/>
  <c r="R97" i="4" s="1"/>
  <c r="O98" i="4"/>
  <c r="R98" i="4" s="1"/>
  <c r="O99" i="4"/>
  <c r="R99" i="4" s="1"/>
  <c r="O100" i="4"/>
  <c r="R100" i="4" s="1"/>
  <c r="O101" i="4"/>
  <c r="R101" i="4" s="1"/>
  <c r="O102" i="4"/>
  <c r="R102" i="4" s="1"/>
  <c r="O103" i="4"/>
  <c r="R103" i="4" s="1"/>
  <c r="O104" i="4"/>
  <c r="R104" i="4" s="1"/>
  <c r="O105" i="4"/>
  <c r="R105" i="4" s="1"/>
  <c r="O106" i="4"/>
  <c r="R106" i="4" s="1"/>
  <c r="O107" i="4"/>
  <c r="R107" i="4" s="1"/>
  <c r="O108" i="4"/>
  <c r="R108" i="4" s="1"/>
  <c r="O109" i="4"/>
  <c r="R109" i="4" s="1"/>
  <c r="O110" i="4"/>
  <c r="R110" i="4" s="1"/>
  <c r="O111" i="4"/>
  <c r="R111" i="4" s="1"/>
  <c r="O112" i="4"/>
  <c r="R112" i="4" s="1"/>
  <c r="O113" i="4"/>
  <c r="R113" i="4" s="1"/>
  <c r="O114" i="4"/>
  <c r="R114" i="4" s="1"/>
  <c r="O115" i="4"/>
  <c r="R115" i="4" s="1"/>
  <c r="O116" i="4"/>
  <c r="R116" i="4" s="1"/>
  <c r="O117" i="4"/>
  <c r="R117" i="4" s="1"/>
  <c r="O118" i="4"/>
  <c r="R118" i="4" s="1"/>
  <c r="O119" i="4"/>
  <c r="O120" i="4"/>
  <c r="R120" i="4" s="1"/>
  <c r="O121" i="4"/>
  <c r="R121" i="4" s="1"/>
  <c r="O122" i="4"/>
  <c r="R122" i="4" s="1"/>
  <c r="O123" i="4"/>
  <c r="R123" i="4" s="1"/>
  <c r="O124" i="4"/>
  <c r="R124" i="4" s="1"/>
  <c r="O125" i="4"/>
  <c r="R125" i="4" s="1"/>
  <c r="O126" i="4"/>
  <c r="R126" i="4" s="1"/>
  <c r="O127" i="4"/>
  <c r="R127" i="4" s="1"/>
  <c r="O128" i="4"/>
  <c r="R128" i="4" s="1"/>
  <c r="O129" i="4"/>
  <c r="R129" i="4" s="1"/>
  <c r="O130" i="4"/>
  <c r="R130" i="4" s="1"/>
  <c r="O131" i="4"/>
  <c r="R131" i="4" s="1"/>
  <c r="O132" i="4"/>
  <c r="R132" i="4" s="1"/>
  <c r="O133" i="4"/>
  <c r="R133" i="4" s="1"/>
  <c r="O134" i="4"/>
  <c r="R134" i="4" s="1"/>
  <c r="O135" i="4"/>
  <c r="R135" i="4" s="1"/>
  <c r="O136" i="4"/>
  <c r="R136" i="4" s="1"/>
  <c r="O137" i="4"/>
  <c r="R137" i="4" s="1"/>
  <c r="O138" i="4"/>
  <c r="R138" i="4" s="1"/>
  <c r="O139" i="4"/>
  <c r="R139" i="4" s="1"/>
  <c r="O140" i="4"/>
  <c r="R140" i="4" s="1"/>
  <c r="O141" i="4"/>
  <c r="R141" i="4" s="1"/>
  <c r="O142" i="4"/>
  <c r="R142" i="4" s="1"/>
  <c r="O143" i="4"/>
  <c r="R143" i="4" s="1"/>
  <c r="O144" i="4"/>
  <c r="R144" i="4" s="1"/>
  <c r="O145" i="4"/>
  <c r="R145" i="4" s="1"/>
  <c r="O146" i="4"/>
  <c r="R146" i="4" s="1"/>
  <c r="O147" i="4"/>
  <c r="R147" i="4" s="1"/>
  <c r="O148" i="4"/>
  <c r="R148" i="4" s="1"/>
  <c r="O149" i="4"/>
  <c r="R149" i="4" s="1"/>
  <c r="O150" i="4"/>
  <c r="R150" i="4" s="1"/>
  <c r="O151" i="4"/>
  <c r="R151" i="4" s="1"/>
  <c r="O2" i="4"/>
  <c r="R2" i="4" s="1"/>
</calcChain>
</file>

<file path=xl/sharedStrings.xml><?xml version="1.0" encoding="utf-8"?>
<sst xmlns="http://schemas.openxmlformats.org/spreadsheetml/2006/main" count="13727" uniqueCount="1550">
  <si>
    <t>ID</t>
  </si>
  <si>
    <t>Data</t>
  </si>
  <si>
    <t>Ano</t>
  </si>
  <si>
    <t>Trim</t>
  </si>
  <si>
    <t>Mês</t>
  </si>
  <si>
    <t>Semana</t>
  </si>
  <si>
    <t>Região</t>
  </si>
  <si>
    <t>Província</t>
  </si>
  <si>
    <t>Cidade</t>
  </si>
  <si>
    <t>Filial</t>
  </si>
  <si>
    <t>Vendedor</t>
  </si>
  <si>
    <t>Sexo</t>
  </si>
  <si>
    <t>Cliente</t>
  </si>
  <si>
    <t>Segmento</t>
  </si>
  <si>
    <t>Produto</t>
  </si>
  <si>
    <t>Categoria</t>
  </si>
  <si>
    <t>Marca</t>
  </si>
  <si>
    <t>Qtd</t>
  </si>
  <si>
    <t>Preço</t>
  </si>
  <si>
    <t>Desc%</t>
  </si>
  <si>
    <t>Receita</t>
  </si>
  <si>
    <t>Custo</t>
  </si>
  <si>
    <t>Lucro</t>
  </si>
  <si>
    <t>Pagamento</t>
  </si>
  <si>
    <t>Estado</t>
  </si>
  <si>
    <t>2026-01-01</t>
  </si>
  <si>
    <t>Centro</t>
  </si>
  <si>
    <t>Maputo</t>
  </si>
  <si>
    <t>F1</t>
  </si>
  <si>
    <t>Paulo</t>
  </si>
  <si>
    <t>F</t>
  </si>
  <si>
    <t>C15</t>
  </si>
  <si>
    <t>Retalho</t>
  </si>
  <si>
    <t>Monitor</t>
  </si>
  <si>
    <t>Tecnologia</t>
  </si>
  <si>
    <t>HP</t>
  </si>
  <si>
    <t>Transfer</t>
  </si>
  <si>
    <t>Concluída</t>
  </si>
  <si>
    <t>2026-01-02</t>
  </si>
  <si>
    <t>Norte</t>
  </si>
  <si>
    <t>Sofala</t>
  </si>
  <si>
    <t>F3</t>
  </si>
  <si>
    <t>Ana</t>
  </si>
  <si>
    <t>M</t>
  </si>
  <si>
    <t>Empresa</t>
  </si>
  <si>
    <t>Dell</t>
  </si>
  <si>
    <t>Cash</t>
  </si>
  <si>
    <t>2026-01-03</t>
  </si>
  <si>
    <t>Sul</t>
  </si>
  <si>
    <t>Nampula</t>
  </si>
  <si>
    <t>João</t>
  </si>
  <si>
    <t>C46</t>
  </si>
  <si>
    <t>Teclado</t>
  </si>
  <si>
    <t>2026-01-04</t>
  </si>
  <si>
    <t>C62</t>
  </si>
  <si>
    <t>Notebook</t>
  </si>
  <si>
    <t>Logitech</t>
  </si>
  <si>
    <t>POS</t>
  </si>
  <si>
    <t>2026-01-05</t>
  </si>
  <si>
    <t>F2</t>
  </si>
  <si>
    <t>C20</t>
  </si>
  <si>
    <t>Mouse</t>
  </si>
  <si>
    <t>2026-01-06</t>
  </si>
  <si>
    <t>C9</t>
  </si>
  <si>
    <t>Lenovo</t>
  </si>
  <si>
    <t>2026-01-07</t>
  </si>
  <si>
    <t>Beira</t>
  </si>
  <si>
    <t>C21</t>
  </si>
  <si>
    <t>2026-01-08</t>
  </si>
  <si>
    <t>C28</t>
  </si>
  <si>
    <t>2026-01-09</t>
  </si>
  <si>
    <t>C31</t>
  </si>
  <si>
    <t>2026-01-10</t>
  </si>
  <si>
    <t>C72</t>
  </si>
  <si>
    <t>2026-01-11</t>
  </si>
  <si>
    <t>Sara</t>
  </si>
  <si>
    <t>C80</t>
  </si>
  <si>
    <t>Impressora</t>
  </si>
  <si>
    <t>2026-01-12</t>
  </si>
  <si>
    <t>2026-01-13</t>
  </si>
  <si>
    <t>C19</t>
  </si>
  <si>
    <t>2026-01-14</t>
  </si>
  <si>
    <t>C44</t>
  </si>
  <si>
    <t>2026-01-15</t>
  </si>
  <si>
    <t>2026-01-16</t>
  </si>
  <si>
    <t>C61</t>
  </si>
  <si>
    <t>2026-01-17</t>
  </si>
  <si>
    <t>C74</t>
  </si>
  <si>
    <t>2026-01-18</t>
  </si>
  <si>
    <t>C56</t>
  </si>
  <si>
    <t>2026-01-19</t>
  </si>
  <si>
    <t>2026-01-20</t>
  </si>
  <si>
    <t>C75</t>
  </si>
  <si>
    <t>2026-01-21</t>
  </si>
  <si>
    <t>2026-01-22</t>
  </si>
  <si>
    <t>2026-01-23</t>
  </si>
  <si>
    <t>2026-01-24</t>
  </si>
  <si>
    <t>C51</t>
  </si>
  <si>
    <t>2026-01-25</t>
  </si>
  <si>
    <t>C77</t>
  </si>
  <si>
    <t>2026-01-26</t>
  </si>
  <si>
    <t>C54</t>
  </si>
  <si>
    <t>2026-01-27</t>
  </si>
  <si>
    <t>C58</t>
  </si>
  <si>
    <t>2026-01-28</t>
  </si>
  <si>
    <t>C37</t>
  </si>
  <si>
    <t>2026-01-29</t>
  </si>
  <si>
    <t>C40</t>
  </si>
  <si>
    <t>2026-01-30</t>
  </si>
  <si>
    <t>C10</t>
  </si>
  <si>
    <t>2026-01-31</t>
  </si>
  <si>
    <t>2026-02-01</t>
  </si>
  <si>
    <t>C26</t>
  </si>
  <si>
    <t>2026-02-02</t>
  </si>
  <si>
    <t>2026-02-03</t>
  </si>
  <si>
    <t>C3</t>
  </si>
  <si>
    <t>2026-02-04</t>
  </si>
  <si>
    <t>C57</t>
  </si>
  <si>
    <t>2026-02-05</t>
  </si>
  <si>
    <t>C23</t>
  </si>
  <si>
    <t>2026-02-06</t>
  </si>
  <si>
    <t>C33</t>
  </si>
  <si>
    <t>2026-02-07</t>
  </si>
  <si>
    <t>C34</t>
  </si>
  <si>
    <t>2026-02-08</t>
  </si>
  <si>
    <t>C14</t>
  </si>
  <si>
    <t>2026-02-09</t>
  </si>
  <si>
    <t>C66</t>
  </si>
  <si>
    <t>2026-02-10</t>
  </si>
  <si>
    <t>C68</t>
  </si>
  <si>
    <t>2026-02-11</t>
  </si>
  <si>
    <t>C6</t>
  </si>
  <si>
    <t>2026-02-12</t>
  </si>
  <si>
    <t>2026-02-13</t>
  </si>
  <si>
    <t>2026-02-14</t>
  </si>
  <si>
    <t>C24</t>
  </si>
  <si>
    <t>2026-02-15</t>
  </si>
  <si>
    <t>2026-02-16</t>
  </si>
  <si>
    <t>C49</t>
  </si>
  <si>
    <t>2026-02-17</t>
  </si>
  <si>
    <t>2026-02-18</t>
  </si>
  <si>
    <t>C52</t>
  </si>
  <si>
    <t>2026-02-19</t>
  </si>
  <si>
    <t>2026-02-20</t>
  </si>
  <si>
    <t>C63</t>
  </si>
  <si>
    <t>2026-02-21</t>
  </si>
  <si>
    <t>C13</t>
  </si>
  <si>
    <t>2026-02-22</t>
  </si>
  <si>
    <t>C2</t>
  </si>
  <si>
    <t>2026-02-23</t>
  </si>
  <si>
    <t>2026-02-24</t>
  </si>
  <si>
    <t>C5</t>
  </si>
  <si>
    <t>2026-02-25</t>
  </si>
  <si>
    <t>C22</t>
  </si>
  <si>
    <t>2026-02-26</t>
  </si>
  <si>
    <t>C65</t>
  </si>
  <si>
    <t>2026-02-27</t>
  </si>
  <si>
    <t>2026-02-28</t>
  </si>
  <si>
    <t>C39</t>
  </si>
  <si>
    <t>2026-03-01</t>
  </si>
  <si>
    <t>2026-03-02</t>
  </si>
  <si>
    <t>C42</t>
  </si>
  <si>
    <t>2026-03-03</t>
  </si>
  <si>
    <t>C29</t>
  </si>
  <si>
    <t>2026-03-04</t>
  </si>
  <si>
    <t>2026-03-05</t>
  </si>
  <si>
    <t>C4</t>
  </si>
  <si>
    <t>2026-03-06</t>
  </si>
  <si>
    <t>2026-03-07</t>
  </si>
  <si>
    <t>C67</t>
  </si>
  <si>
    <t>2026-03-08</t>
  </si>
  <si>
    <t>C30</t>
  </si>
  <si>
    <t>2026-03-09</t>
  </si>
  <si>
    <t>2026-03-10</t>
  </si>
  <si>
    <t>2026-03-11</t>
  </si>
  <si>
    <t>2026-03-12</t>
  </si>
  <si>
    <t>2026-03-13</t>
  </si>
  <si>
    <t>C59</t>
  </si>
  <si>
    <t>2026-03-14</t>
  </si>
  <si>
    <t>2026-03-15</t>
  </si>
  <si>
    <t>2026-03-16</t>
  </si>
  <si>
    <t>C36</t>
  </si>
  <si>
    <t>2026-03-17</t>
  </si>
  <si>
    <t>2026-03-18</t>
  </si>
  <si>
    <t>2026-03-19</t>
  </si>
  <si>
    <t>C35</t>
  </si>
  <si>
    <t>2026-03-20</t>
  </si>
  <si>
    <t>2026-03-21</t>
  </si>
  <si>
    <t>2026-03-22</t>
  </si>
  <si>
    <t>2026-03-23</t>
  </si>
  <si>
    <t>C43</t>
  </si>
  <si>
    <t>2026-03-24</t>
  </si>
  <si>
    <t>C41</t>
  </si>
  <si>
    <t>2026-03-25</t>
  </si>
  <si>
    <t>C17</t>
  </si>
  <si>
    <t>2026-03-26</t>
  </si>
  <si>
    <t>2026-03-27</t>
  </si>
  <si>
    <t>2026-03-28</t>
  </si>
  <si>
    <t>C55</t>
  </si>
  <si>
    <t>2026-03-29</t>
  </si>
  <si>
    <t>2026-03-30</t>
  </si>
  <si>
    <t>2026-03-31</t>
  </si>
  <si>
    <t>C1</t>
  </si>
  <si>
    <t>2026-04-01</t>
  </si>
  <si>
    <t>C53</t>
  </si>
  <si>
    <t>2026-04-02</t>
  </si>
  <si>
    <t>2026-04-03</t>
  </si>
  <si>
    <t>C50</t>
  </si>
  <si>
    <t>2026-04-04</t>
  </si>
  <si>
    <t>2026-04-05</t>
  </si>
  <si>
    <t>C60</t>
  </si>
  <si>
    <t>2026-04-06</t>
  </si>
  <si>
    <t>2026-04-07</t>
  </si>
  <si>
    <t>C45</t>
  </si>
  <si>
    <t>2026-04-08</t>
  </si>
  <si>
    <t>2026-04-09</t>
  </si>
  <si>
    <t>C11</t>
  </si>
  <si>
    <t>2026-04-10</t>
  </si>
  <si>
    <t>2026-04-11</t>
  </si>
  <si>
    <t>2026-04-12</t>
  </si>
  <si>
    <t>2026-04-13</t>
  </si>
  <si>
    <t>C27</t>
  </si>
  <si>
    <t>2026-04-14</t>
  </si>
  <si>
    <t>2026-04-15</t>
  </si>
  <si>
    <t>C16</t>
  </si>
  <si>
    <t>2026-04-16</t>
  </si>
  <si>
    <t>2026-04-17</t>
  </si>
  <si>
    <t>C71</t>
  </si>
  <si>
    <t>2026-04-18</t>
  </si>
  <si>
    <t>2026-04-19</t>
  </si>
  <si>
    <t>2026-04-20</t>
  </si>
  <si>
    <t>2026-04-21</t>
  </si>
  <si>
    <t>C69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</si>
  <si>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</si>
  <si>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</si>
  <si>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</si>
  <si>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</si>
  <si>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</si>
  <si>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</si>
  <si>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</si>
  <si>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</si>
  <si>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</si>
  <si>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</si>
  <si>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</si>
  <si>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</si>
  <si>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</si>
  <si>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C64</t>
  </si>
  <si>
    <t>2026-05-05</t>
  </si>
  <si>
    <t>2026-05-06</t>
  </si>
  <si>
    <t>C76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</si>
  <si>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</si>
  <si>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</si>
  <si>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</si>
  <si>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</si>
  <si>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</si>
  <si>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</si>
  <si>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</si>
  <si>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</si>
  <si>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</si>
  <si>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</si>
  <si>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</si>
  <si>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</si>
  <si>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</si>
  <si>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</si>
  <si>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</si>
  <si>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</si>
  <si>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</si>
  <si>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</si>
  <si>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</si>
  <si>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</si>
  <si>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</si>
  <si>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C70</t>
  </si>
  <si>
    <t>2026-05-28</t>
  </si>
  <si>
    <t>2026-05-29</t>
  </si>
  <si>
    <t>2026-05-30</t>
  </si>
  <si>
    <t>KPIs Sugeridos</t>
  </si>
  <si>
    <t>Margem</t>
  </si>
  <si>
    <t>Crescimento</t>
  </si>
  <si>
    <t>Top 10</t>
  </si>
  <si>
    <t>Média</t>
  </si>
  <si>
    <t>Ranking</t>
  </si>
  <si>
    <t>Tendência</t>
  </si>
  <si>
    <t>Funcionário</t>
  </si>
  <si>
    <t>Idade</t>
  </si>
  <si>
    <t>Estado Civil</t>
  </si>
  <si>
    <t>Departamento</t>
  </si>
  <si>
    <t>Cargo</t>
  </si>
  <si>
    <t>Escol.</t>
  </si>
  <si>
    <t>Admissão</t>
  </si>
  <si>
    <t>Antig.</t>
  </si>
  <si>
    <t>Salário</t>
  </si>
  <si>
    <t>Subsídio</t>
  </si>
  <si>
    <t>H.Extras</t>
  </si>
  <si>
    <t>Faltas</t>
  </si>
  <si>
    <t>Aval.</t>
  </si>
  <si>
    <t>Contrato</t>
  </si>
  <si>
    <t>Regime</t>
  </si>
  <si>
    <t>Supervisor</t>
  </si>
  <si>
    <t>Formações</t>
  </si>
  <si>
    <t>Férias</t>
  </si>
  <si>
    <t>Bónus</t>
  </si>
  <si>
    <t>Func 1</t>
  </si>
  <si>
    <t>C</t>
  </si>
  <si>
    <t>Oper.</t>
  </si>
  <si>
    <t>Téc</t>
  </si>
  <si>
    <t>Mest</t>
  </si>
  <si>
    <t>2021-01-28</t>
  </si>
  <si>
    <t>Efetivo</t>
  </si>
  <si>
    <t>Integral</t>
  </si>
  <si>
    <t>Sup1</t>
  </si>
  <si>
    <t>Ativo</t>
  </si>
  <si>
    <t>Func 2</t>
  </si>
  <si>
    <t>Fin.</t>
  </si>
  <si>
    <t>Gestor</t>
  </si>
  <si>
    <t>Lic</t>
  </si>
  <si>
    <t>2019-07-11</t>
  </si>
  <si>
    <t>Sup4</t>
  </si>
  <si>
    <t>Func 3</t>
  </si>
  <si>
    <t>S</t>
  </si>
  <si>
    <t>2022-05-21</t>
  </si>
  <si>
    <t>Parcial</t>
  </si>
  <si>
    <t>Sup8</t>
  </si>
  <si>
    <t>Func 4</t>
  </si>
  <si>
    <t>2022-12-18</t>
  </si>
  <si>
    <t>Prazo</t>
  </si>
  <si>
    <t>Func 5</t>
  </si>
  <si>
    <t>TI</t>
  </si>
  <si>
    <t>2020-03-03</t>
  </si>
  <si>
    <t>Sup7</t>
  </si>
  <si>
    <t>Func 6</t>
  </si>
  <si>
    <t>2020-12-15</t>
  </si>
  <si>
    <t>Func 7</t>
  </si>
  <si>
    <t>RH</t>
  </si>
  <si>
    <t>2020-04-18</t>
  </si>
  <si>
    <t>Func 8</t>
  </si>
  <si>
    <t>2018-11-15</t>
  </si>
  <si>
    <t>Sup5</t>
  </si>
  <si>
    <t>Func 9</t>
  </si>
  <si>
    <t>2017-12-01</t>
  </si>
  <si>
    <t>Func 10</t>
  </si>
  <si>
    <t>2018-05-11</t>
  </si>
  <si>
    <t>Sup3</t>
  </si>
  <si>
    <t>Func 11</t>
  </si>
  <si>
    <t>2023-09-08</t>
  </si>
  <si>
    <t>Func 12</t>
  </si>
  <si>
    <t>2021-10-12</t>
  </si>
  <si>
    <t>Func 13</t>
  </si>
  <si>
    <t>Marketing</t>
  </si>
  <si>
    <t>2020-11-29</t>
  </si>
  <si>
    <t>Func 14</t>
  </si>
  <si>
    <t>2022-03-11</t>
  </si>
  <si>
    <t>Func 15</t>
  </si>
  <si>
    <t>2023-12-07</t>
  </si>
  <si>
    <t>Func 16</t>
  </si>
  <si>
    <t>2021-02-18</t>
  </si>
  <si>
    <t>Func 17</t>
  </si>
  <si>
    <t>2022-05-06</t>
  </si>
  <si>
    <t>Func 18</t>
  </si>
  <si>
    <t>2024-12-04</t>
  </si>
  <si>
    <t>Func 19</t>
  </si>
  <si>
    <t>2018-12-14</t>
  </si>
  <si>
    <t>Func 20</t>
  </si>
  <si>
    <t>2019-01-08</t>
  </si>
  <si>
    <t>Func 21</t>
  </si>
  <si>
    <t>2018-04-16</t>
  </si>
  <si>
    <t>Func 22</t>
  </si>
  <si>
    <t>2018-10-27</t>
  </si>
  <si>
    <t>Func 23</t>
  </si>
  <si>
    <t>2023-04-27</t>
  </si>
  <si>
    <t>Func 24</t>
  </si>
  <si>
    <t>2023-04-16</t>
  </si>
  <si>
    <t>Func 25</t>
  </si>
  <si>
    <t>2024-05-08</t>
  </si>
  <si>
    <t>Func 26</t>
  </si>
  <si>
    <t>2024-05-02</t>
  </si>
  <si>
    <t>Func 27</t>
  </si>
  <si>
    <t>2020-05-20</t>
  </si>
  <si>
    <t>Func 28</t>
  </si>
  <si>
    <t>2025-01-16</t>
  </si>
  <si>
    <t>Func 29</t>
  </si>
  <si>
    <t>2024-07-07</t>
  </si>
  <si>
    <t>Func 30</t>
  </si>
  <si>
    <t>2024-06-03</t>
  </si>
  <si>
    <t>Sup6</t>
  </si>
  <si>
    <t>Func 31</t>
  </si>
  <si>
    <t>2022-12-15</t>
  </si>
  <si>
    <t>Func 32</t>
  </si>
  <si>
    <t>2018-03-27</t>
  </si>
  <si>
    <t>Func 33</t>
  </si>
  <si>
    <t>2018-07-31</t>
  </si>
  <si>
    <t>Func 34</t>
  </si>
  <si>
    <t>2025-08-07</t>
  </si>
  <si>
    <t>Func 35</t>
  </si>
  <si>
    <t>2021-04-23</t>
  </si>
  <si>
    <t>Func 36</t>
  </si>
  <si>
    <t>2020-07-08</t>
  </si>
  <si>
    <t>Func 37</t>
  </si>
  <si>
    <t>2021-11-23</t>
  </si>
  <si>
    <t>Func 38</t>
  </si>
  <si>
    <t>2023-09-02</t>
  </si>
  <si>
    <t>Func 39</t>
  </si>
  <si>
    <t>2020-08-20</t>
  </si>
  <si>
    <t>Func 40</t>
  </si>
  <si>
    <t>2022-12-14</t>
  </si>
  <si>
    <t>Sup2</t>
  </si>
  <si>
    <t>Func 41</t>
  </si>
  <si>
    <t>2019-08-05</t>
  </si>
  <si>
    <t>Func 42</t>
  </si>
  <si>
    <t>2019-03-10</t>
  </si>
  <si>
    <t>Func 43</t>
  </si>
  <si>
    <t>2025-08-21</t>
  </si>
  <si>
    <t>Func 44</t>
  </si>
  <si>
    <t>2021-11-27</t>
  </si>
  <si>
    <t>Func 45</t>
  </si>
  <si>
    <t>2024-05-22</t>
  </si>
  <si>
    <t>Func 46</t>
  </si>
  <si>
    <t>2024-03-21</t>
  </si>
  <si>
    <t>Func 47</t>
  </si>
  <si>
    <t>2020-03-14</t>
  </si>
  <si>
    <t>Func 48</t>
  </si>
  <si>
    <t>2023-12-26</t>
  </si>
  <si>
    <t>Func 49</t>
  </si>
  <si>
    <t>2024-01-05</t>
  </si>
  <si>
    <t>Func 50</t>
  </si>
  <si>
    <t>2021-11-07</t>
  </si>
  <si>
    <t>Func 51</t>
  </si>
  <si>
    <t>2023-07-21</t>
  </si>
  <si>
    <t>Func 52</t>
  </si>
  <si>
    <t>2018-04-07</t>
  </si>
  <si>
    <t>Func 53</t>
  </si>
  <si>
    <t>2025-03-09</t>
  </si>
  <si>
    <t>Func 54</t>
  </si>
  <si>
    <t>2023-05-16</t>
  </si>
  <si>
    <t>Func 55</t>
  </si>
  <si>
    <t>2020-04-02</t>
  </si>
  <si>
    <t>Func 56</t>
  </si>
  <si>
    <t>2019-05-12</t>
  </si>
  <si>
    <t>Func 57</t>
  </si>
  <si>
    <t>2019-10-23</t>
  </si>
  <si>
    <t>Func 58</t>
  </si>
  <si>
    <t>2018-11-21</t>
  </si>
  <si>
    <t>Func 59</t>
  </si>
  <si>
    <t>2019-06-01</t>
  </si>
  <si>
    <t>Func 60</t>
  </si>
  <si>
    <t>2017-12-07</t>
  </si>
  <si>
    <t>Func 61</t>
  </si>
  <si>
    <t>2022-07-18</t>
  </si>
  <si>
    <t>Func 62</t>
  </si>
  <si>
    <t>2019-05-24</t>
  </si>
  <si>
    <t>Func 63</t>
  </si>
  <si>
    <t>2023-03-07</t>
  </si>
  <si>
    <t>Func 64</t>
  </si>
  <si>
    <t>2020-01-16</t>
  </si>
  <si>
    <t>Func 65</t>
  </si>
  <si>
    <t>2018-03-29</t>
  </si>
  <si>
    <t>Func 66</t>
  </si>
  <si>
    <t>2018-09-07</t>
  </si>
  <si>
    <t>Func 67</t>
  </si>
  <si>
    <t>2024-07-26</t>
  </si>
  <si>
    <t>Func 68</t>
  </si>
  <si>
    <t>2019-07-31</t>
  </si>
  <si>
    <t>Func 69</t>
  </si>
  <si>
    <t>2023-03-23</t>
  </si>
  <si>
    <t>Func 70</t>
  </si>
  <si>
    <t>2021-11-21</t>
  </si>
  <si>
    <t>Func 71</t>
  </si>
  <si>
    <t>2023-02-26</t>
  </si>
  <si>
    <t>Func 72</t>
  </si>
  <si>
    <t>2024-02-25</t>
  </si>
  <si>
    <t>Func 73</t>
  </si>
  <si>
    <t>2023-07-24</t>
  </si>
  <si>
    <t>Func 74</t>
  </si>
  <si>
    <t>2024-02-04</t>
  </si>
  <si>
    <t>Func 75</t>
  </si>
  <si>
    <t>2021-07-09</t>
  </si>
  <si>
    <t>Func 76</t>
  </si>
  <si>
    <t>2019-11-17</t>
  </si>
  <si>
    <t>Func 77</t>
  </si>
  <si>
    <t>2019-05-25</t>
  </si>
  <si>
    <t>Func 78</t>
  </si>
  <si>
    <t>2022-03-24</t>
  </si>
  <si>
    <t>Func 79</t>
  </si>
  <si>
    <t>2018-02-26</t>
  </si>
  <si>
    <t>Func 80</t>
  </si>
  <si>
    <t>2019-09-16</t>
  </si>
  <si>
    <t>Func 81</t>
  </si>
  <si>
    <t>2020-06-05</t>
  </si>
  <si>
    <t>Func 82</t>
  </si>
  <si>
    <t>2018-06-15</t>
  </si>
  <si>
    <t>Func 83</t>
  </si>
  <si>
    <t>2024-02-03</t>
  </si>
  <si>
    <t>Func 84</t>
  </si>
  <si>
    <t>2022-04-04</t>
  </si>
  <si>
    <t>Func 85</t>
  </si>
  <si>
    <t>2023-09-12</t>
  </si>
  <si>
    <t>Func 86</t>
  </si>
  <si>
    <t>2019-04-20</t>
  </si>
  <si>
    <t>Func 87</t>
  </si>
  <si>
    <t>2020-05-23</t>
  </si>
  <si>
    <t>Func 88</t>
  </si>
  <si>
    <t>2024-08-06</t>
  </si>
  <si>
    <t>Func 89</t>
  </si>
  <si>
    <t>2020-01-14</t>
  </si>
  <si>
    <t>Func 90</t>
  </si>
  <si>
    <t>Func 91</t>
  </si>
  <si>
    <t>2022-02-18</t>
  </si>
  <si>
    <t>Func 92</t>
  </si>
  <si>
    <t>2021-12-21</t>
  </si>
  <si>
    <t>Func 93</t>
  </si>
  <si>
    <t>2021-02-10</t>
  </si>
  <si>
    <t>Func 94</t>
  </si>
  <si>
    <t>2020-01-29</t>
  </si>
  <si>
    <t>Func 95</t>
  </si>
  <si>
    <t>2020-02-16</t>
  </si>
  <si>
    <t>Func 96</t>
  </si>
  <si>
    <t>2020-01-08</t>
  </si>
  <si>
    <t>Func 97</t>
  </si>
  <si>
    <t>2018-01-17</t>
  </si>
  <si>
    <t>Func 98</t>
  </si>
  <si>
    <t>2019-05-27</t>
  </si>
  <si>
    <t>Func 99</t>
  </si>
  <si>
    <t>2018-05-06</t>
  </si>
  <si>
    <t>Func 100</t>
  </si>
  <si>
    <t>2024-08-14</t>
  </si>
  <si>
    <t>Func 101</t>
  </si>
  <si>
    <t>2019-04-02</t>
  </si>
  <si>
    <t>Func 102</t>
  </si>
  <si>
    <t>2018-10-12</t>
  </si>
  <si>
    <t>Func 103</t>
  </si>
  <si>
    <t>Func 104</t>
  </si>
  <si>
    <t>2020-02-03</t>
  </si>
  <si>
    <t>Func 105</t>
  </si>
  <si>
    <t>2020-11-14</t>
  </si>
  <si>
    <t>Func 106</t>
  </si>
  <si>
    <t>2021-02-25</t>
  </si>
  <si>
    <t>Func 107</t>
  </si>
  <si>
    <t>2022-04-18</t>
  </si>
  <si>
    <t>Func 108</t>
  </si>
  <si>
    <t>2020-02-07</t>
  </si>
  <si>
    <t>Func 109</t>
  </si>
  <si>
    <t>2018-12-18</t>
  </si>
  <si>
    <t>Func 110</t>
  </si>
  <si>
    <t>2019-01-13</t>
  </si>
  <si>
    <t>Func 111</t>
  </si>
  <si>
    <t>2019-03-19</t>
  </si>
  <si>
    <t>Func 112</t>
  </si>
  <si>
    <t>2022-11-02</t>
  </si>
  <si>
    <t>Func 113</t>
  </si>
  <si>
    <t>2021-05-13</t>
  </si>
  <si>
    <t>Func 114</t>
  </si>
  <si>
    <t>2019-06-11</t>
  </si>
  <si>
    <t>Func 115</t>
  </si>
  <si>
    <t>2021-02-28</t>
  </si>
  <si>
    <t>Func 116</t>
  </si>
  <si>
    <t>2025-07-15</t>
  </si>
  <si>
    <t>Func 117</t>
  </si>
  <si>
    <t>2019-01-30</t>
  </si>
  <si>
    <t>Func 118</t>
  </si>
  <si>
    <t>2021-07-29</t>
  </si>
  <si>
    <t>Func 119</t>
  </si>
  <si>
    <t>2025-02-05</t>
  </si>
  <si>
    <t>Func 120</t>
  </si>
  <si>
    <t>2022-12-29</t>
  </si>
  <si>
    <t>Func 121</t>
  </si>
  <si>
    <t>2022-09-25</t>
  </si>
  <si>
    <t>Func 122</t>
  </si>
  <si>
    <t>2023-08-21</t>
  </si>
  <si>
    <t>Func 123</t>
  </si>
  <si>
    <t>2021-03-20</t>
  </si>
  <si>
    <t>Func 124</t>
  </si>
  <si>
    <t>2020-04-14</t>
  </si>
  <si>
    <t>Func 125</t>
  </si>
  <si>
    <t>2020-12-22</t>
  </si>
  <si>
    <t>Func 126</t>
  </si>
  <si>
    <t>2021-01-22</t>
  </si>
  <si>
    <t>Func 127</t>
  </si>
  <si>
    <t>2023-01-21</t>
  </si>
  <si>
    <t>Func 128</t>
  </si>
  <si>
    <t>2021-08-26</t>
  </si>
  <si>
    <t>Func 129</t>
  </si>
  <si>
    <t>2025-04-08</t>
  </si>
  <si>
    <t>Func 130</t>
  </si>
  <si>
    <t>2021-09-24</t>
  </si>
  <si>
    <t>Func 131</t>
  </si>
  <si>
    <t>2018-10-07</t>
  </si>
  <si>
    <t>Func 132</t>
  </si>
  <si>
    <t>2024-12-19</t>
  </si>
  <si>
    <t>Func 133</t>
  </si>
  <si>
    <t>2019-01-12</t>
  </si>
  <si>
    <t>Func 134</t>
  </si>
  <si>
    <t>Func 135</t>
  </si>
  <si>
    <t>2021-07-14</t>
  </si>
  <si>
    <t>Func 136</t>
  </si>
  <si>
    <t>2025-07-06</t>
  </si>
  <si>
    <t>Func 137</t>
  </si>
  <si>
    <t>2021-11-06</t>
  </si>
  <si>
    <t>Func 138</t>
  </si>
  <si>
    <t>2019-04-25</t>
  </si>
  <si>
    <t>Func 139</t>
  </si>
  <si>
    <t>2017-10-28</t>
  </si>
  <si>
    <t>Func 140</t>
  </si>
  <si>
    <t>2020-03-22</t>
  </si>
  <si>
    <t>Func 141</t>
  </si>
  <si>
    <t>2022-12-23</t>
  </si>
  <si>
    <t>Func 142</t>
  </si>
  <si>
    <t>2025-02-23</t>
  </si>
  <si>
    <t>Func 143</t>
  </si>
  <si>
    <t>2020-02-22</t>
  </si>
  <si>
    <t>Func 144</t>
  </si>
  <si>
    <t>2025-02-16</t>
  </si>
  <si>
    <t>Func 145</t>
  </si>
  <si>
    <t>2025-01-03</t>
  </si>
  <si>
    <t>Func 146</t>
  </si>
  <si>
    <t>2019-08-28</t>
  </si>
  <si>
    <t>Func 147</t>
  </si>
  <si>
    <t>2019-11-15</t>
  </si>
  <si>
    <t>Func 148</t>
  </si>
  <si>
    <t>2018-04-30</t>
  </si>
  <si>
    <t>Func 149</t>
  </si>
  <si>
    <t>2018-05-29</t>
  </si>
  <si>
    <t>Func 150</t>
  </si>
  <si>
    <t>2022-05-04</t>
  </si>
  <si>
    <t>Dept</t>
  </si>
  <si>
    <t>Conta</t>
  </si>
  <si>
    <t>Tipo</t>
  </si>
  <si>
    <t>Fornecedor</t>
  </si>
  <si>
    <t>Doc</t>
  </si>
  <si>
    <t>Moeda</t>
  </si>
  <si>
    <t>Valor</t>
  </si>
  <si>
    <t>IVA</t>
  </si>
  <si>
    <t>Desc</t>
  </si>
  <si>
    <t>Líquido</t>
  </si>
  <si>
    <t>Banco</t>
  </si>
  <si>
    <t>Projeto</t>
  </si>
  <si>
    <t>Resp.</t>
  </si>
  <si>
    <t>Obs</t>
  </si>
  <si>
    <t>Aprov.</t>
  </si>
  <si>
    <t>CC3</t>
  </si>
  <si>
    <t>4498</t>
  </si>
  <si>
    <t>Vendas</t>
  </si>
  <si>
    <t>F4</t>
  </si>
  <si>
    <t>D0</t>
  </si>
  <si>
    <t>MZN</t>
  </si>
  <si>
    <t>Transf</t>
  </si>
  <si>
    <t>BCI</t>
  </si>
  <si>
    <t>P2</t>
  </si>
  <si>
    <t>Pago</t>
  </si>
  <si>
    <t>Não</t>
  </si>
  <si>
    <t>4468</t>
  </si>
  <si>
    <t>Despesa</t>
  </si>
  <si>
    <t>Salários</t>
  </si>
  <si>
    <t>D1</t>
  </si>
  <si>
    <t>P5</t>
  </si>
  <si>
    <t>Sim</t>
  </si>
  <si>
    <t>CC1</t>
  </si>
  <si>
    <t>4626</t>
  </si>
  <si>
    <t>Serviços</t>
  </si>
  <si>
    <t>F16</t>
  </si>
  <si>
    <t>D2</t>
  </si>
  <si>
    <t>4340</t>
  </si>
  <si>
    <t>D3</t>
  </si>
  <si>
    <t>4777</t>
  </si>
  <si>
    <t>F17</t>
  </si>
  <si>
    <t>D4</t>
  </si>
  <si>
    <t>P3</t>
  </si>
  <si>
    <t>CC5</t>
  </si>
  <si>
    <t>4875</t>
  </si>
  <si>
    <t>F8</t>
  </si>
  <si>
    <t>D5</t>
  </si>
  <si>
    <t>CC2</t>
  </si>
  <si>
    <t>4743</t>
  </si>
  <si>
    <t>F11</t>
  </si>
  <si>
    <t>D6</t>
  </si>
  <si>
    <t>4789</t>
  </si>
  <si>
    <t>F20</t>
  </si>
  <si>
    <t>D7</t>
  </si>
  <si>
    <t>4284</t>
  </si>
  <si>
    <t>F19</t>
  </si>
  <si>
    <t>D8</t>
  </si>
  <si>
    <t>4855</t>
  </si>
  <si>
    <t>F9</t>
  </si>
  <si>
    <t>D9</t>
  </si>
  <si>
    <t>P1</t>
  </si>
  <si>
    <t>4964</t>
  </si>
  <si>
    <t>F15</t>
  </si>
  <si>
    <t>D10</t>
  </si>
  <si>
    <t>4236</t>
  </si>
  <si>
    <t>F6</t>
  </si>
  <si>
    <t>D11</t>
  </si>
  <si>
    <t>4551</t>
  </si>
  <si>
    <t>D12</t>
  </si>
  <si>
    <t>4534</t>
  </si>
  <si>
    <t>D13</t>
  </si>
  <si>
    <t>4712</t>
  </si>
  <si>
    <t>D14</t>
  </si>
  <si>
    <t>CC4</t>
  </si>
  <si>
    <t>4536</t>
  </si>
  <si>
    <t>D15</t>
  </si>
  <si>
    <t>4872</t>
  </si>
  <si>
    <t>F12</t>
  </si>
  <si>
    <t>D16</t>
  </si>
  <si>
    <t>4190</t>
  </si>
  <si>
    <t>D17</t>
  </si>
  <si>
    <t>D18</t>
  </si>
  <si>
    <t>P4</t>
  </si>
  <si>
    <t>4207</t>
  </si>
  <si>
    <t>D19</t>
  </si>
  <si>
    <t>4652</t>
  </si>
  <si>
    <t>D20</t>
  </si>
  <si>
    <t>4432</t>
  </si>
  <si>
    <t>D21</t>
  </si>
  <si>
    <t>4351</t>
  </si>
  <si>
    <t>D22</t>
  </si>
  <si>
    <t>4210</t>
  </si>
  <si>
    <t>F10</t>
  </si>
  <si>
    <t>D23</t>
  </si>
  <si>
    <t>4458</t>
  </si>
  <si>
    <t>D24</t>
  </si>
  <si>
    <t>4893</t>
  </si>
  <si>
    <t>F13</t>
  </si>
  <si>
    <t>D25</t>
  </si>
  <si>
    <t>4223</t>
  </si>
  <si>
    <t>D26</t>
  </si>
  <si>
    <t>4894</t>
  </si>
  <si>
    <t>D27</t>
  </si>
  <si>
    <t>4390</t>
  </si>
  <si>
    <t>F18</t>
  </si>
  <si>
    <t>D28</t>
  </si>
  <si>
    <t>4169</t>
  </si>
  <si>
    <t>D29</t>
  </si>
  <si>
    <t>4625</t>
  </si>
  <si>
    <t>D30</t>
  </si>
  <si>
    <t>4736</t>
  </si>
  <si>
    <t>D31</t>
  </si>
  <si>
    <t>4126</t>
  </si>
  <si>
    <t>D32</t>
  </si>
  <si>
    <t>4301</t>
  </si>
  <si>
    <t>D33</t>
  </si>
  <si>
    <t>4312</t>
  </si>
  <si>
    <t>F14</t>
  </si>
  <si>
    <t>D34</t>
  </si>
  <si>
    <t>4327</t>
  </si>
  <si>
    <t>D35</t>
  </si>
  <si>
    <t>4480</t>
  </si>
  <si>
    <t>D36</t>
  </si>
  <si>
    <t>4539</t>
  </si>
  <si>
    <t>D37</t>
  </si>
  <si>
    <t>4679</t>
  </si>
  <si>
    <t>D38</t>
  </si>
  <si>
    <t>4557</t>
  </si>
  <si>
    <t>D39</t>
  </si>
  <si>
    <t>4150</t>
  </si>
  <si>
    <t>D40</t>
  </si>
  <si>
    <t>4146</t>
  </si>
  <si>
    <t>D41</t>
  </si>
  <si>
    <t>4403</t>
  </si>
  <si>
    <t>D42</t>
  </si>
  <si>
    <t>4904</t>
  </si>
  <si>
    <t>D43</t>
  </si>
  <si>
    <t>4669</t>
  </si>
  <si>
    <t>D44</t>
  </si>
  <si>
    <t>4416</t>
  </si>
  <si>
    <t>D45</t>
  </si>
  <si>
    <t>4811</t>
  </si>
  <si>
    <t>D46</t>
  </si>
  <si>
    <t>4737</t>
  </si>
  <si>
    <t>D47</t>
  </si>
  <si>
    <t>4761</t>
  </si>
  <si>
    <t>D48</t>
  </si>
  <si>
    <t>4880</t>
  </si>
  <si>
    <t>F7</t>
  </si>
  <si>
    <t>D49</t>
  </si>
  <si>
    <t>4613</t>
  </si>
  <si>
    <t>D50</t>
  </si>
  <si>
    <t>4672</t>
  </si>
  <si>
    <t>F5</t>
  </si>
  <si>
    <t>D51</t>
  </si>
  <si>
    <t>4471</t>
  </si>
  <si>
    <t>D52</t>
  </si>
  <si>
    <t>4821</t>
  </si>
  <si>
    <t>D53</t>
  </si>
  <si>
    <t>D54</t>
  </si>
  <si>
    <t>4770</t>
  </si>
  <si>
    <t>D55</t>
  </si>
  <si>
    <t>4956</t>
  </si>
  <si>
    <t>D56</t>
  </si>
  <si>
    <t>4173</t>
  </si>
  <si>
    <t>D57</t>
  </si>
  <si>
    <t>4630</t>
  </si>
  <si>
    <t>D58</t>
  </si>
  <si>
    <t>4252</t>
  </si>
  <si>
    <t>D59</t>
  </si>
  <si>
    <t>4469</t>
  </si>
  <si>
    <t>D60</t>
  </si>
  <si>
    <t>4721</t>
  </si>
  <si>
    <t>D61</t>
  </si>
  <si>
    <t>4362</t>
  </si>
  <si>
    <t>D62</t>
  </si>
  <si>
    <t>4111</t>
  </si>
  <si>
    <t>D63</t>
  </si>
  <si>
    <t>4521</t>
  </si>
  <si>
    <t>D64</t>
  </si>
  <si>
    <t>4963</t>
  </si>
  <si>
    <t>D65</t>
  </si>
  <si>
    <t>4842</t>
  </si>
  <si>
    <t>D66</t>
  </si>
  <si>
    <t>4650</t>
  </si>
  <si>
    <t>D67</t>
  </si>
  <si>
    <t>4871</t>
  </si>
  <si>
    <t>D68</t>
  </si>
  <si>
    <t>4276</t>
  </si>
  <si>
    <t>D69</t>
  </si>
  <si>
    <t>D70</t>
  </si>
  <si>
    <t>4354</t>
  </si>
  <si>
    <t>D71</t>
  </si>
  <si>
    <t>4759</t>
  </si>
  <si>
    <t>D72</t>
  </si>
  <si>
    <t>4337</t>
  </si>
  <si>
    <t>D73</t>
  </si>
  <si>
    <t>4447</t>
  </si>
  <si>
    <t>D74</t>
  </si>
  <si>
    <t>4163</t>
  </si>
  <si>
    <t>D75</t>
  </si>
  <si>
    <t>4373</t>
  </si>
  <si>
    <t>D76</t>
  </si>
  <si>
    <t>4965</t>
  </si>
  <si>
    <t>D77</t>
  </si>
  <si>
    <t>4990</t>
  </si>
  <si>
    <t>D78</t>
  </si>
  <si>
    <t>4159</t>
  </si>
  <si>
    <t>D79</t>
  </si>
  <si>
    <t>4915</t>
  </si>
  <si>
    <t>D80</t>
  </si>
  <si>
    <t>4616</t>
  </si>
  <si>
    <t>D81</t>
  </si>
  <si>
    <t>4788</t>
  </si>
  <si>
    <t>D82</t>
  </si>
  <si>
    <t>4730</t>
  </si>
  <si>
    <t>D83</t>
  </si>
  <si>
    <t>4443</t>
  </si>
  <si>
    <t>D84</t>
  </si>
  <si>
    <t>4566</t>
  </si>
  <si>
    <t>D85</t>
  </si>
  <si>
    <t>4265</t>
  </si>
  <si>
    <t>D86</t>
  </si>
  <si>
    <t>4797</t>
  </si>
  <si>
    <t>D87</t>
  </si>
  <si>
    <t>D88</t>
  </si>
  <si>
    <t>4864</t>
  </si>
  <si>
    <t>D89</t>
  </si>
  <si>
    <t>4100</t>
  </si>
  <si>
    <t>D90</t>
  </si>
  <si>
    <t>4774</t>
  </si>
  <si>
    <t>D91</t>
  </si>
  <si>
    <t>D92</t>
  </si>
  <si>
    <t>4980</t>
  </si>
  <si>
    <t>D93</t>
  </si>
  <si>
    <t>4550</t>
  </si>
  <si>
    <t>D94</t>
  </si>
  <si>
    <t>4414</t>
  </si>
  <si>
    <t>D95</t>
  </si>
  <si>
    <t>4491</t>
  </si>
  <si>
    <t>D96</t>
  </si>
  <si>
    <t>4843</t>
  </si>
  <si>
    <t>D97</t>
  </si>
  <si>
    <t>4444</t>
  </si>
  <si>
    <t>D98</t>
  </si>
  <si>
    <t>4386</t>
  </si>
  <si>
    <t>D99</t>
  </si>
  <si>
    <t>4140</t>
  </si>
  <si>
    <t>D100</t>
  </si>
  <si>
    <t>4918</t>
  </si>
  <si>
    <t>D101</t>
  </si>
  <si>
    <t>4873</t>
  </si>
  <si>
    <t>D102</t>
  </si>
  <si>
    <t>4448</t>
  </si>
  <si>
    <t>D103</t>
  </si>
  <si>
    <t>4921</t>
  </si>
  <si>
    <t>D104</t>
  </si>
  <si>
    <t>4274</t>
  </si>
  <si>
    <t>D105</t>
  </si>
  <si>
    <t>4499</t>
  </si>
  <si>
    <t>D106</t>
  </si>
  <si>
    <t>4118</t>
  </si>
  <si>
    <t>D107</t>
  </si>
  <si>
    <t>4723</t>
  </si>
  <si>
    <t>D108</t>
  </si>
  <si>
    <t>4790</t>
  </si>
  <si>
    <t>D109</t>
  </si>
  <si>
    <t>D110</t>
  </si>
  <si>
    <t>4935</t>
  </si>
  <si>
    <t>D111</t>
  </si>
  <si>
    <t>4804</t>
  </si>
  <si>
    <t>D112</t>
  </si>
  <si>
    <t>4330</t>
  </si>
  <si>
    <t>D113</t>
  </si>
  <si>
    <t>4569</t>
  </si>
  <si>
    <t>D114</t>
  </si>
  <si>
    <t>4294</t>
  </si>
  <si>
    <t>D115</t>
  </si>
  <si>
    <t>4659</t>
  </si>
  <si>
    <t>D116</t>
  </si>
  <si>
    <t>4332</t>
  </si>
  <si>
    <t>D117</t>
  </si>
  <si>
    <t>4113</t>
  </si>
  <si>
    <t>D118</t>
  </si>
  <si>
    <t>4629</t>
  </si>
  <si>
    <t>D119</t>
  </si>
  <si>
    <t>4393</t>
  </si>
  <si>
    <t>D120</t>
  </si>
  <si>
    <t>4675</t>
  </si>
  <si>
    <t>D121</t>
  </si>
  <si>
    <t>4220</t>
  </si>
  <si>
    <t>D122</t>
  </si>
  <si>
    <t>4410</t>
  </si>
  <si>
    <t>D123</t>
  </si>
  <si>
    <t>4638</t>
  </si>
  <si>
    <t>D124</t>
  </si>
  <si>
    <t>4917</t>
  </si>
  <si>
    <t>D125</t>
  </si>
  <si>
    <t>4682</t>
  </si>
  <si>
    <t>D126</t>
  </si>
  <si>
    <t>4409</t>
  </si>
  <si>
    <t>D127</t>
  </si>
  <si>
    <t>4214</t>
  </si>
  <si>
    <t>D128</t>
  </si>
  <si>
    <t>4565</t>
  </si>
  <si>
    <t>D129</t>
  </si>
  <si>
    <t>4785</t>
  </si>
  <si>
    <t>D130</t>
  </si>
  <si>
    <t>4129</t>
  </si>
  <si>
    <t>D131</t>
  </si>
  <si>
    <t>4334</t>
  </si>
  <si>
    <t>D132</t>
  </si>
  <si>
    <t>4237</t>
  </si>
  <si>
    <t>D133</t>
  </si>
  <si>
    <t>4648</t>
  </si>
  <si>
    <t>D134</t>
  </si>
  <si>
    <t>4913</t>
  </si>
  <si>
    <t>D135</t>
  </si>
  <si>
    <t>4316</t>
  </si>
  <si>
    <t>D136</t>
  </si>
  <si>
    <t>4451</t>
  </si>
  <si>
    <t>D137</t>
  </si>
  <si>
    <t>D138</t>
  </si>
  <si>
    <t>4151</t>
  </si>
  <si>
    <t>D139</t>
  </si>
  <si>
    <t>4748</t>
  </si>
  <si>
    <t>D140</t>
  </si>
  <si>
    <t>4350</t>
  </si>
  <si>
    <t>D141</t>
  </si>
  <si>
    <t>4808</t>
  </si>
  <si>
    <t>D142</t>
  </si>
  <si>
    <t>4555</t>
  </si>
  <si>
    <t>D143</t>
  </si>
  <si>
    <t>4709</t>
  </si>
  <si>
    <t>D144</t>
  </si>
  <si>
    <t>D145</t>
  </si>
  <si>
    <t>4563</t>
  </si>
  <si>
    <t>D146</t>
  </si>
  <si>
    <t>4170</t>
  </si>
  <si>
    <t>D147</t>
  </si>
  <si>
    <t>4825</t>
  </si>
  <si>
    <t>D148</t>
  </si>
  <si>
    <t>4279</t>
  </si>
  <si>
    <t>D149</t>
  </si>
  <si>
    <t>Estudante</t>
  </si>
  <si>
    <t>Curso</t>
  </si>
  <si>
    <t>Faculdade</t>
  </si>
  <si>
    <t>Turma</t>
  </si>
  <si>
    <t>Disciplina</t>
  </si>
  <si>
    <t>Docente</t>
  </si>
  <si>
    <t>Sem</t>
  </si>
  <si>
    <t>Teste1</t>
  </si>
  <si>
    <t>Teste2</t>
  </si>
  <si>
    <t>Exame</t>
  </si>
  <si>
    <t>Freq</t>
  </si>
  <si>
    <t>Créd</t>
  </si>
  <si>
    <t>Situação</t>
  </si>
  <si>
    <t>Bolsa</t>
  </si>
  <si>
    <t>Ingresso</t>
  </si>
  <si>
    <t>Turno</t>
  </si>
  <si>
    <t>Est 1</t>
  </si>
  <si>
    <t>Gestão</t>
  </si>
  <si>
    <t>FACE</t>
  </si>
  <si>
    <t>T2</t>
  </si>
  <si>
    <t>Disc5</t>
  </si>
  <si>
    <t>Doc6</t>
  </si>
  <si>
    <t>Laboral</t>
  </si>
  <si>
    <t>Noite</t>
  </si>
  <si>
    <t>Est 2</t>
  </si>
  <si>
    <t>Economia</t>
  </si>
  <si>
    <t>T1</t>
  </si>
  <si>
    <t>Doc2</t>
  </si>
  <si>
    <t>Pós</t>
  </si>
  <si>
    <t>Est 3</t>
  </si>
  <si>
    <t>Contab.</t>
  </si>
  <si>
    <t>Disc12</t>
  </si>
  <si>
    <t>Doc5</t>
  </si>
  <si>
    <t>Est 4</t>
  </si>
  <si>
    <t>T4</t>
  </si>
  <si>
    <t>Doc3</t>
  </si>
  <si>
    <t>Manhã</t>
  </si>
  <si>
    <t>Est 5</t>
  </si>
  <si>
    <t>Disc7</t>
  </si>
  <si>
    <t>Doc11</t>
  </si>
  <si>
    <t>Est 6</t>
  </si>
  <si>
    <t>Disc11</t>
  </si>
  <si>
    <t>Doc15</t>
  </si>
  <si>
    <t>Est 7</t>
  </si>
  <si>
    <t>Disc10</t>
  </si>
  <si>
    <t>Est 8</t>
  </si>
  <si>
    <t>Disc9</t>
  </si>
  <si>
    <t>Doc10</t>
  </si>
  <si>
    <t>Est 9</t>
  </si>
  <si>
    <t>Doc13</t>
  </si>
  <si>
    <t>Est 10</t>
  </si>
  <si>
    <t>Disc8</t>
  </si>
  <si>
    <t>Est 11</t>
  </si>
  <si>
    <t>Disc3</t>
  </si>
  <si>
    <t>Doc7</t>
  </si>
  <si>
    <t>Est 12</t>
  </si>
  <si>
    <t>Disc4</t>
  </si>
  <si>
    <t>Est 13</t>
  </si>
  <si>
    <t>Est 14</t>
  </si>
  <si>
    <t>T3</t>
  </si>
  <si>
    <t>Est 15</t>
  </si>
  <si>
    <t>Est 16</t>
  </si>
  <si>
    <t>Est 17</t>
  </si>
  <si>
    <t>Doc1</t>
  </si>
  <si>
    <t>Est 18</t>
  </si>
  <si>
    <t>Est 19</t>
  </si>
  <si>
    <t>Doc4</t>
  </si>
  <si>
    <t>Est 20</t>
  </si>
  <si>
    <t>Doc12</t>
  </si>
  <si>
    <t>Est 21</t>
  </si>
  <si>
    <t>Est 22</t>
  </si>
  <si>
    <t>Est 23</t>
  </si>
  <si>
    <t>Est 24</t>
  </si>
  <si>
    <t>Est 25</t>
  </si>
  <si>
    <t>Est 26</t>
  </si>
  <si>
    <t>Disc2</t>
  </si>
  <si>
    <t>Est 27</t>
  </si>
  <si>
    <t>Doc14</t>
  </si>
  <si>
    <t>Est 28</t>
  </si>
  <si>
    <t>Est 29</t>
  </si>
  <si>
    <t>Est 30</t>
  </si>
  <si>
    <t>Est 31</t>
  </si>
  <si>
    <t>Disc6</t>
  </si>
  <si>
    <t>Doc9</t>
  </si>
  <si>
    <t>Est 32</t>
  </si>
  <si>
    <t>Est 33</t>
  </si>
  <si>
    <t>Est 34</t>
  </si>
  <si>
    <t>Est 35</t>
  </si>
  <si>
    <t>Disc1</t>
  </si>
  <si>
    <t>Est 36</t>
  </si>
  <si>
    <t>Est 37</t>
  </si>
  <si>
    <t>Est 38</t>
  </si>
  <si>
    <t>Est 39</t>
  </si>
  <si>
    <t>Est 40</t>
  </si>
  <si>
    <t>Est 41</t>
  </si>
  <si>
    <t>Est 42</t>
  </si>
  <si>
    <t>Est 43</t>
  </si>
  <si>
    <t>Doc8</t>
  </si>
  <si>
    <t>Est 44</t>
  </si>
  <si>
    <t>Est 45</t>
  </si>
  <si>
    <t>Est 46</t>
  </si>
  <si>
    <t>Est 47</t>
  </si>
  <si>
    <t>Est 48</t>
  </si>
  <si>
    <t>Est 49</t>
  </si>
  <si>
    <t>Est 50</t>
  </si>
  <si>
    <t>Est 51</t>
  </si>
  <si>
    <t>Est 52</t>
  </si>
  <si>
    <t>Est 53</t>
  </si>
  <si>
    <t>Est 54</t>
  </si>
  <si>
    <t>Est 55</t>
  </si>
  <si>
    <t>Est 56</t>
  </si>
  <si>
    <t>Est 57</t>
  </si>
  <si>
    <t>Est 58</t>
  </si>
  <si>
    <t>Est 59</t>
  </si>
  <si>
    <t>Est 60</t>
  </si>
  <si>
    <t>Est 61</t>
  </si>
  <si>
    <t>Est 62</t>
  </si>
  <si>
    <t>Est 63</t>
  </si>
  <si>
    <t>Est 64</t>
  </si>
  <si>
    <t>Est 65</t>
  </si>
  <si>
    <t>Est 66</t>
  </si>
  <si>
    <t>Est 67</t>
  </si>
  <si>
    <t>Est 68</t>
  </si>
  <si>
    <t>Est 69</t>
  </si>
  <si>
    <t>Est 70</t>
  </si>
  <si>
    <t>Est 71</t>
  </si>
  <si>
    <t>Est 72</t>
  </si>
  <si>
    <t>Est 73</t>
  </si>
  <si>
    <t>Est 74</t>
  </si>
  <si>
    <t>Est 75</t>
  </si>
  <si>
    <t>Est 76</t>
  </si>
  <si>
    <t>Est 77</t>
  </si>
  <si>
    <t>Est 78</t>
  </si>
  <si>
    <t>Est 79</t>
  </si>
  <si>
    <t>Est 80</t>
  </si>
  <si>
    <t>Est 81</t>
  </si>
  <si>
    <t>Est 82</t>
  </si>
  <si>
    <t>Est 83</t>
  </si>
  <si>
    <t>Est 84</t>
  </si>
  <si>
    <t>Est 85</t>
  </si>
  <si>
    <t>Est 86</t>
  </si>
  <si>
    <t>Est 87</t>
  </si>
  <si>
    <t>Est 88</t>
  </si>
  <si>
    <t>Est 89</t>
  </si>
  <si>
    <t>Est 90</t>
  </si>
  <si>
    <t>Est 91</t>
  </si>
  <si>
    <t>Est 92</t>
  </si>
  <si>
    <t>Est 93</t>
  </si>
  <si>
    <t>Est 94</t>
  </si>
  <si>
    <t>Est 95</t>
  </si>
  <si>
    <t>Est 96</t>
  </si>
  <si>
    <t>Est 97</t>
  </si>
  <si>
    <t>Est 98</t>
  </si>
  <si>
    <t>Est 99</t>
  </si>
  <si>
    <t>Est 100</t>
  </si>
  <si>
    <t>Est 101</t>
  </si>
  <si>
    <t>Est 102</t>
  </si>
  <si>
    <t>Est 103</t>
  </si>
  <si>
    <t>Est 104</t>
  </si>
  <si>
    <t>Est 105</t>
  </si>
  <si>
    <t>Est 106</t>
  </si>
  <si>
    <t>Est 107</t>
  </si>
  <si>
    <t>Est 108</t>
  </si>
  <si>
    <t>Est 109</t>
  </si>
  <si>
    <t>Est 110</t>
  </si>
  <si>
    <t>Est 111</t>
  </si>
  <si>
    <t>Est 112</t>
  </si>
  <si>
    <t>Est 113</t>
  </si>
  <si>
    <t>Est 114</t>
  </si>
  <si>
    <t>Est 115</t>
  </si>
  <si>
    <t>Est 116</t>
  </si>
  <si>
    <t>Est 117</t>
  </si>
  <si>
    <t>Est 118</t>
  </si>
  <si>
    <t>Est 119</t>
  </si>
  <si>
    <t>Est 120</t>
  </si>
  <si>
    <t>Est 121</t>
  </si>
  <si>
    <t>Est 122</t>
  </si>
  <si>
    <t>Est 123</t>
  </si>
  <si>
    <t>Est 124</t>
  </si>
  <si>
    <t>Est 125</t>
  </si>
  <si>
    <t>Est 126</t>
  </si>
  <si>
    <t>Est 127</t>
  </si>
  <si>
    <t>Est 128</t>
  </si>
  <si>
    <t>Est 129</t>
  </si>
  <si>
    <t>Est 130</t>
  </si>
  <si>
    <t>Est 131</t>
  </si>
  <si>
    <t>Est 132</t>
  </si>
  <si>
    <t>Est 133</t>
  </si>
  <si>
    <t>Est 134</t>
  </si>
  <si>
    <t>Est 135</t>
  </si>
  <si>
    <t>Est 136</t>
  </si>
  <si>
    <t>Est 137</t>
  </si>
  <si>
    <t>Est 138</t>
  </si>
  <si>
    <t>Est 139</t>
  </si>
  <si>
    <t>Est 140</t>
  </si>
  <si>
    <t>Est 141</t>
  </si>
  <si>
    <t>Est 142</t>
  </si>
  <si>
    <t>Est 143</t>
  </si>
  <si>
    <t>Est 144</t>
  </si>
  <si>
    <t>Est 145</t>
  </si>
  <si>
    <t>Est 146</t>
  </si>
  <si>
    <t>Est 147</t>
  </si>
  <si>
    <t>Est 148</t>
  </si>
  <si>
    <t>Est 149</t>
  </si>
  <si>
    <t>Est 150</t>
  </si>
  <si>
    <t>Paciente</t>
  </si>
  <si>
    <t>Especialidade</t>
  </si>
  <si>
    <t>Médico</t>
  </si>
  <si>
    <t>Entrada</t>
  </si>
  <si>
    <t>AltaPrev</t>
  </si>
  <si>
    <t>Dias</t>
  </si>
  <si>
    <t>Diagnóstico</t>
  </si>
  <si>
    <t>Trat.</t>
  </si>
  <si>
    <t>Quarto</t>
  </si>
  <si>
    <t>Seguro</t>
  </si>
  <si>
    <t>Medic.</t>
  </si>
  <si>
    <t>Exames</t>
  </si>
  <si>
    <t>Cirurgia</t>
  </si>
  <si>
    <t>Alta</t>
  </si>
  <si>
    <t>Prior.</t>
  </si>
  <si>
    <t>Satisf.</t>
  </si>
  <si>
    <t>Med</t>
  </si>
  <si>
    <t>M9</t>
  </si>
  <si>
    <t>DX</t>
  </si>
  <si>
    <t>TX</t>
  </si>
  <si>
    <t>Internado</t>
  </si>
  <si>
    <t>M13</t>
  </si>
  <si>
    <t>Baixa</t>
  </si>
  <si>
    <t>M15</t>
  </si>
  <si>
    <t>M16</t>
  </si>
  <si>
    <t>P6</t>
  </si>
  <si>
    <t>Cir</t>
  </si>
  <si>
    <t>M7</t>
  </si>
  <si>
    <t>P7</t>
  </si>
  <si>
    <t>Ped</t>
  </si>
  <si>
    <t>M5</t>
  </si>
  <si>
    <t>P8</t>
  </si>
  <si>
    <t>M2</t>
  </si>
  <si>
    <t>P9</t>
  </si>
  <si>
    <t>M6</t>
  </si>
  <si>
    <t>P10</t>
  </si>
  <si>
    <t>P11</t>
  </si>
  <si>
    <t>M17</t>
  </si>
  <si>
    <t>P12</t>
  </si>
  <si>
    <t>P13</t>
  </si>
  <si>
    <t>M4</t>
  </si>
  <si>
    <t>P14</t>
  </si>
  <si>
    <t>M18</t>
  </si>
  <si>
    <t>P15</t>
  </si>
  <si>
    <t>M10</t>
  </si>
  <si>
    <t>P16</t>
  </si>
  <si>
    <t>M1</t>
  </si>
  <si>
    <t>P17</t>
  </si>
  <si>
    <t>P18</t>
  </si>
  <si>
    <t>M8</t>
  </si>
  <si>
    <t>P19</t>
  </si>
  <si>
    <t>M14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</si>
  <si>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</si>
  <si>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</si>
  <si>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</si>
  <si>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</si>
  <si>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</si>
  <si>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</si>
  <si>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</si>
  <si>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</si>
  <si>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</si>
  <si>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</si>
  <si>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M11</t>
  </si>
  <si>
    <t>P30</t>
  </si>
  <si>
    <t>P31</t>
  </si>
  <si>
    <t>P32</t>
  </si>
  <si>
    <t>P33</t>
  </si>
  <si>
    <t>P34</t>
  </si>
  <si>
    <t>M3</t>
  </si>
  <si>
    <t>P35</t>
  </si>
  <si>
    <t>P36</t>
  </si>
  <si>
    <t>P37</t>
  </si>
  <si>
    <t>M19</t>
  </si>
  <si>
    <t>P38</t>
  </si>
  <si>
    <t>P39</t>
  </si>
  <si>
    <t>P40</t>
  </si>
  <si>
    <t>P41</t>
  </si>
  <si>
    <t>P42</t>
  </si>
  <si>
    <t>M20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</si>
  <si>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</si>
  <si>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</si>
  <si>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</si>
  <si>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</si>
  <si>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</si>
  <si>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</si>
  <si>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</si>
  <si>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</si>
  <si>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</si>
  <si>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</si>
  <si>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</si>
  <si>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</si>
  <si>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</si>
  <si>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</si>
  <si>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</si>
  <si>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M12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</si>
  <si>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</si>
  <si>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</si>
  <si>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</si>
  <si>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</si>
  <si>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</si>
  <si>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</si>
  <si>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</si>
  <si>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</si>
  <si>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</si>
  <si>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</si>
  <si>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</si>
  <si>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</si>
  <si>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</si>
  <si>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</si>
  <si>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</si>
  <si>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</si>
  <si>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</si>
  <si>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</si>
  <si>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</si>
  <si>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</si>
  <si>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</si>
  <si>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</si>
  <si>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</si>
  <si>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</si>
  <si>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</si>
  <si>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</si>
  <si>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</si>
  <si>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</si>
  <si>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</si>
  <si>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</si>
  <si>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</si>
  <si>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</si>
  <si>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</si>
  <si>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</si>
  <si>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</si>
  <si>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</si>
  <si>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</si>
  <si>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</si>
  <si>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</si>
  <si>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</si>
  <si>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</si>
  <si>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</si>
  <si>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</si>
  <si>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</si>
  <si>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</si>
  <si>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</si>
  <si>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</si>
  <si>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</si>
  <si>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</si>
  <si>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</si>
  <si>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</si>
  <si>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</si>
  <si>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</si>
  <si>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</si>
  <si>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</si>
  <si>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</si>
  <si>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</si>
  <si>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</si>
  <si>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</si>
  <si>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</si>
  <si>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</si>
  <si>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</si>
  <si>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</si>
  <si>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</si>
  <si>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</si>
  <si>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</si>
  <si>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</si>
  <si>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</si>
  <si>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</si>
  <si>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</si>
  <si>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</si>
  <si>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</si>
  <si>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</si>
  <si>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</si>
  <si>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</si>
  <si>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</si>
  <si>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</si>
  <si>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</si>
  <si>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</si>
  <si>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</si>
  <si>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</si>
  <si>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</si>
  <si>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</si>
  <si>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</si>
  <si>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</si>
  <si>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2026-05-31</t>
  </si>
  <si>
    <t>P143</t>
  </si>
  <si>
    <t>P144</t>
  </si>
  <si>
    <t>2026-06-01</t>
  </si>
  <si>
    <t>P145</t>
  </si>
  <si>
    <t>P146</t>
  </si>
  <si>
    <t>P147</t>
  </si>
  <si>
    <t>2026-06-05</t>
  </si>
  <si>
    <t>P148</t>
  </si>
  <si>
    <t>P149</t>
  </si>
  <si>
    <t>2026-06-04</t>
  </si>
  <si>
    <t>P150</t>
  </si>
  <si>
    <t>Armazém</t>
  </si>
  <si>
    <t>StockIni</t>
  </si>
  <si>
    <t>Entradas</t>
  </si>
  <si>
    <t>Saídas</t>
  </si>
  <si>
    <t>Atual</t>
  </si>
  <si>
    <t>Mín</t>
  </si>
  <si>
    <t>Máx</t>
  </si>
  <si>
    <t>P.Compra</t>
  </si>
  <si>
    <t>P.Venda</t>
  </si>
  <si>
    <t>Rotação</t>
  </si>
  <si>
    <t>ÚltCompra</t>
  </si>
  <si>
    <t>ÚltVenda</t>
  </si>
  <si>
    <t>Resp</t>
  </si>
  <si>
    <t>Prod1</t>
  </si>
  <si>
    <t>Limpeza</t>
  </si>
  <si>
    <t>A3</t>
  </si>
  <si>
    <t>Prod2</t>
  </si>
  <si>
    <t>A2</t>
  </si>
  <si>
    <t>Prod3</t>
  </si>
  <si>
    <t>Escrit.</t>
  </si>
  <si>
    <t>A1</t>
  </si>
  <si>
    <t>Prod4</t>
  </si>
  <si>
    <t>Info</t>
  </si>
  <si>
    <t>Prod5</t>
  </si>
  <si>
    <t>Prod6</t>
  </si>
  <si>
    <t>Prod7</t>
  </si>
  <si>
    <t>Prod8</t>
  </si>
  <si>
    <t>Prod9</t>
  </si>
  <si>
    <t>Prod10</t>
  </si>
  <si>
    <t>Prod11</t>
  </si>
  <si>
    <t>Prod12</t>
  </si>
  <si>
    <t>Prod13</t>
  </si>
  <si>
    <t>Prod14</t>
  </si>
  <si>
    <t>Prod15</t>
  </si>
  <si>
    <t>Prod16</t>
  </si>
  <si>
    <t>Prod17</t>
  </si>
  <si>
    <t>Prod18</t>
  </si>
  <si>
    <t>Prod19</t>
  </si>
  <si>
    <t>Prod20</t>
  </si>
  <si>
    <t>Prod21</t>
  </si>
  <si>
    <t>Prod22</t>
  </si>
  <si>
    <t>Prod23</t>
  </si>
  <si>
    <t>Prod24</t>
  </si>
  <si>
    <t>Prod25</t>
  </si>
  <si>
    <t>Prod26</t>
  </si>
  <si>
    <t>Prod27</t>
  </si>
  <si>
    <t>Prod28</t>
  </si>
  <si>
    <t>Prod29</t>
  </si>
  <si>
    <t>Prod30</t>
  </si>
  <si>
    <t>Prod31</t>
  </si>
  <si>
    <t>Prod32</t>
  </si>
  <si>
    <t>Prod33</t>
  </si>
  <si>
    <t>Prod34</t>
  </si>
  <si>
    <t>Prod35</t>
  </si>
  <si>
    <t>Prod36</t>
  </si>
  <si>
    <t>Prod37</t>
  </si>
  <si>
    <t>Prod38</t>
  </si>
  <si>
    <t>Prod39</t>
  </si>
  <si>
    <t>Prod40</t>
  </si>
  <si>
    <t>Prod41</t>
  </si>
  <si>
    <t>Prod42</t>
  </si>
  <si>
    <t>Prod43</t>
  </si>
  <si>
    <t>Prod44</t>
  </si>
  <si>
    <t>Prod45</t>
  </si>
  <si>
    <t>Prod46</t>
  </si>
  <si>
    <t>Prod47</t>
  </si>
  <si>
    <t>Prod48</t>
  </si>
  <si>
    <t>Prod49</t>
  </si>
  <si>
    <t>Prod50</t>
  </si>
  <si>
    <t>Prod51</t>
  </si>
  <si>
    <t>Prod52</t>
  </si>
  <si>
    <t>Prod53</t>
  </si>
  <si>
    <t>Prod54</t>
  </si>
  <si>
    <t>Prod55</t>
  </si>
  <si>
    <t>Prod56</t>
  </si>
  <si>
    <t>Prod57</t>
  </si>
  <si>
    <t>Prod58</t>
  </si>
  <si>
    <t>Prod59</t>
  </si>
  <si>
    <t>Prod60</t>
  </si>
  <si>
    <t>Prod61</t>
  </si>
  <si>
    <t>Prod62</t>
  </si>
  <si>
    <t>Prod63</t>
  </si>
  <si>
    <t>Prod64</t>
  </si>
  <si>
    <t>Prod65</t>
  </si>
  <si>
    <t>Prod66</t>
  </si>
  <si>
    <t>Prod67</t>
  </si>
  <si>
    <t>Prod68</t>
  </si>
  <si>
    <t>Prod69</t>
  </si>
  <si>
    <t>Prod70</t>
  </si>
  <si>
    <t>Prod71</t>
  </si>
  <si>
    <t>Prod72</t>
  </si>
  <si>
    <t>Prod73</t>
  </si>
  <si>
    <t>Prod74</t>
  </si>
  <si>
    <t>Prod75</t>
  </si>
  <si>
    <t>Prod76</t>
  </si>
  <si>
    <t>Prod77</t>
  </si>
  <si>
    <t>Prod78</t>
  </si>
  <si>
    <t>Prod79</t>
  </si>
  <si>
    <t>Prod80</t>
  </si>
  <si>
    <t>Prod81</t>
  </si>
  <si>
    <t>Prod82</t>
  </si>
  <si>
    <t>Prod83</t>
  </si>
  <si>
    <t>Prod84</t>
  </si>
  <si>
    <t>Prod85</t>
  </si>
  <si>
    <t>Prod86</t>
  </si>
  <si>
    <t>Prod87</t>
  </si>
  <si>
    <t>Prod88</t>
  </si>
  <si>
    <t>Prod89</t>
  </si>
  <si>
    <t>Prod90</t>
  </si>
  <si>
    <t>Prod91</t>
  </si>
  <si>
    <t>Prod92</t>
  </si>
  <si>
    <t>Prod93</t>
  </si>
  <si>
    <t>Prod94</t>
  </si>
  <si>
    <t>Prod95</t>
  </si>
  <si>
    <t>Prod96</t>
  </si>
  <si>
    <t>Prod97</t>
  </si>
  <si>
    <t>Prod98</t>
  </si>
  <si>
    <t>Prod99</t>
  </si>
  <si>
    <t>Prod100</t>
  </si>
  <si>
    <t>Prod101</t>
  </si>
  <si>
    <t>Prod102</t>
  </si>
  <si>
    <t>Prod103</t>
  </si>
  <si>
    <t>Prod104</t>
  </si>
  <si>
    <t>Prod105</t>
  </si>
  <si>
    <t>Prod106</t>
  </si>
  <si>
    <t>Prod107</t>
  </si>
  <si>
    <t>Prod108</t>
  </si>
  <si>
    <t>Prod109</t>
  </si>
  <si>
    <t>Prod110</t>
  </si>
  <si>
    <t>Prod111</t>
  </si>
  <si>
    <t>Prod112</t>
  </si>
  <si>
    <t>Prod113</t>
  </si>
  <si>
    <t>Prod114</t>
  </si>
  <si>
    <t>Prod115</t>
  </si>
  <si>
    <t>Prod116</t>
  </si>
  <si>
    <t>Prod117</t>
  </si>
  <si>
    <t>Prod118</t>
  </si>
  <si>
    <t>Prod119</t>
  </si>
  <si>
    <t>Prod120</t>
  </si>
  <si>
    <t>Prod121</t>
  </si>
  <si>
    <t>Prod122</t>
  </si>
  <si>
    <t>Prod123</t>
  </si>
  <si>
    <t>Prod124</t>
  </si>
  <si>
    <t>Prod125</t>
  </si>
  <si>
    <t>Prod126</t>
  </si>
  <si>
    <t>Prod127</t>
  </si>
  <si>
    <t>Prod128</t>
  </si>
  <si>
    <t>Prod129</t>
  </si>
  <si>
    <t>Prod130</t>
  </si>
  <si>
    <t>Prod131</t>
  </si>
  <si>
    <t>Prod132</t>
  </si>
  <si>
    <t>Prod133</t>
  </si>
  <si>
    <t>Prod134</t>
  </si>
  <si>
    <t>Prod135</t>
  </si>
  <si>
    <t>Prod136</t>
  </si>
  <si>
    <t>Prod137</t>
  </si>
  <si>
    <t>Prod138</t>
  </si>
  <si>
    <t>Prod139</t>
  </si>
  <si>
    <t>Prod140</t>
  </si>
  <si>
    <t>Prod141</t>
  </si>
  <si>
    <t>Prod142</t>
  </si>
  <si>
    <t>Prod143</t>
  </si>
  <si>
    <t>Prod144</t>
  </si>
  <si>
    <t>Prod145</t>
  </si>
  <si>
    <t>Prod146</t>
  </si>
  <si>
    <t>Prod147</t>
  </si>
  <si>
    <t>Prod148</t>
  </si>
  <si>
    <t>2026-06-02</t>
  </si>
  <si>
    <t>Prod149</t>
  </si>
  <si>
    <t>2026-06-03</t>
  </si>
  <si>
    <t>Prod150</t>
  </si>
  <si>
    <t>Rótulos de Linha</t>
  </si>
  <si>
    <t>Total Geral</t>
  </si>
  <si>
    <t>Contagem de Sexo</t>
  </si>
  <si>
    <t>Contagem de Curso</t>
  </si>
  <si>
    <t>Aprovado</t>
  </si>
  <si>
    <t>Reprovado</t>
  </si>
  <si>
    <t>Contagem de Situação</t>
  </si>
  <si>
    <t xml:space="preserve"> Média</t>
  </si>
  <si>
    <t>Frequencia</t>
  </si>
  <si>
    <t>1. Número de Estudantes</t>
  </si>
  <si>
    <t>2. Média Geral</t>
  </si>
  <si>
    <t>3. Taxa de Aprovação</t>
  </si>
  <si>
    <t>4. Taxa de Reprovação</t>
  </si>
  <si>
    <t>5. Frequência Média</t>
  </si>
  <si>
    <t>SEXO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</si>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</sst>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Times New Roman"/>
    </font>
    <font>
      <b/>
      <sz val="12"/>
      <color theme="1"/>
      <name val="Times New Roman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2" fillId="0" borderId="0" xfId="0" pivotButton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NumberFormat="1" applyFont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23">
    <dxf>
      <fill>
        <patternFill>
          <bgColor rgb="FF00B050"/>
        </patternFill>
      </fill>
    </dxf>
    <dxf>
      <fill>
        <patternFill>
          <bgColor rgb="FF00B050"/>
        </patternFill>
      </fill>
    </dxf>
    <dxf>
      <numFmt numFmtId="30" formatCode="@"/>
      <fill>
        <patternFill>
          <bgColor rgb="FFFF0000"/>
        </patternFill>
      </fill>
    </dxf>
    <dxf>
      <font>
        <b/>
      </font>
    </dxf>
    <dxf>
      <font>
        <b/>
      </font>
    </dxf>
    <dxf>
      <alignment horizontal="left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microsoft.com/office/2007/relationships/slicerCache" Target="slicerCaches/slicerCache5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microsoft.com/office/2007/relationships/slicerCache" Target="slicerCaches/slicerCache4.xml"/><Relationship Id="rId2" Type="http://schemas.openxmlformats.org/officeDocument/2006/relationships/worksheet" Target="worksheets/sheet2.xml"/><Relationship Id="rId16" Type="http://schemas.microsoft.com/office/2007/relationships/slicerCache" Target="slicerCaches/slicerCache3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[4. Grupo-ACADEMICO.xlsx]dashboard!Tabela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Distribuicao por sexo</a:t>
            </a:r>
          </a:p>
        </c:rich>
      </c:tx>
      <c:layout>
        <c:manualLayout>
          <c:xMode val="edge"/>
          <c:yMode val="edge"/>
          <c:x val="0.33375328083989503"/>
          <c:y val="6.90995356349687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2762372813634516"/>
          <c:y val="0.21711235614778918"/>
          <c:w val="0.32591591405405035"/>
          <c:h val="0.59699020795477487"/>
        </c:manualLayout>
      </c:layout>
      <c:doughnutChart>
        <c:varyColors val="1"/>
        <c:ser>
          <c:idx val="0"/>
          <c:order val="0"/>
          <c:tx>
            <c:strRef>
              <c:f>dashboard!$B$3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dashboard!$A$4:$A$6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dashboard!$B$4:$B$6</c:f>
              <c:numCache>
                <c:formatCode>General</c:formatCode>
                <c:ptCount val="2"/>
                <c:pt idx="0">
                  <c:v>26</c:v>
                </c:pt>
                <c:pt idx="1">
                  <c:v>26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[4. Grupo-ACADEMICO.xlsx]dashboard!Tabela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Estudante por Curso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36877810524592275"/>
          <c:y val="0.32495874015748033"/>
          <c:w val="0.53518387448759919"/>
          <c:h val="0.5585721784776902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1"/>
                <c:pt idx="0">
                  <c:v>Gestão</c:v>
                </c:pt>
              </c:strCache>
            </c:strRef>
          </c:cat>
          <c:val>
            <c:numRef>
              <c:f>dashboard!$B$17:$B$18</c:f>
              <c:numCache>
                <c:formatCode>General</c:formatCode>
                <c:ptCount val="1"/>
                <c:pt idx="0">
                  <c:v>52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34505720"/>
        <c:axId val="270920968"/>
      </c:barChart>
      <c:catAx>
        <c:axId val="234505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70920968"/>
        <c:crosses val="autoZero"/>
        <c:auto val="1"/>
        <c:lblAlgn val="ctr"/>
        <c:lblOffset val="100"/>
        <c:noMultiLvlLbl val="0"/>
      </c:catAx>
      <c:valAx>
        <c:axId val="27092096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34505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[4. Grupo-ACADEMICO.xlsx]dashboard!Tabela dinâmica4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Aprovado vs Reprovado</a:t>
            </a:r>
          </a:p>
        </c:rich>
      </c:tx>
      <c:layout>
        <c:manualLayout>
          <c:xMode val="edge"/>
          <c:yMode val="edge"/>
          <c:x val="0.21532744960279002"/>
          <c:y val="0.143439940217095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dashboard!$B$10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dashboard!$A$11:$A$13</c:f>
              <c:strCache>
                <c:ptCount val="2"/>
                <c:pt idx="0">
                  <c:v>Aprovado</c:v>
                </c:pt>
                <c:pt idx="1">
                  <c:v>Reprovado</c:v>
                </c:pt>
              </c:strCache>
            </c:strRef>
          </c:cat>
          <c:val>
            <c:numRef>
              <c:f>dashboard!$B$11:$B$13</c:f>
              <c:numCache>
                <c:formatCode>General</c:formatCode>
                <c:ptCount val="2"/>
                <c:pt idx="0">
                  <c:v>50</c:v>
                </c:pt>
                <c:pt idx="1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[4. Grupo-ACADEMICO.xlsx]dashboard!Tabela dinâmica5</c:name>
    <c:fmtId val="0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layout>
            <c:manualLayout>
              <c:x val="-1.0843372465290536E-2"/>
              <c:y val="1.579058299530740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dashboard!$B$21</c:f>
              <c:strCache>
                <c:ptCount val="1"/>
                <c:pt idx="0">
                  <c:v> Média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dashboard!$A$22:$A$23</c:f>
              <c:strCache>
                <c:ptCount val="1"/>
                <c:pt idx="0">
                  <c:v>Gestão</c:v>
                </c:pt>
              </c:strCache>
            </c:strRef>
          </c:cat>
          <c:val>
            <c:numRef>
              <c:f>dashboard!$B$22:$B$23</c:f>
              <c:numCache>
                <c:formatCode>General</c:formatCode>
                <c:ptCount val="1"/>
                <c:pt idx="0">
                  <c:v>695.20000000000016</c:v>
                </c:pt>
              </c:numCache>
            </c:numRef>
          </c:val>
        </c:ser>
        <c:ser>
          <c:idx val="1"/>
          <c:order val="1"/>
          <c:tx>
            <c:strRef>
              <c:f>dashboard!$C$21</c:f>
              <c:strCache>
                <c:ptCount val="1"/>
                <c:pt idx="0">
                  <c:v>Frequencia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dashboard!$A$22:$A$23</c:f>
              <c:strCache>
                <c:ptCount val="1"/>
                <c:pt idx="0">
                  <c:v>Gestão</c:v>
                </c:pt>
              </c:strCache>
            </c:strRef>
          </c:cat>
          <c:val>
            <c:numRef>
              <c:f>dashboard!$C$22:$C$23</c:f>
              <c:numCache>
                <c:formatCode>General</c:formatCode>
                <c:ptCount val="1"/>
                <c:pt idx="0">
                  <c:v>4145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1763368"/>
        <c:axId val="272530976"/>
      </c:barChart>
      <c:catAx>
        <c:axId val="271763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72530976"/>
        <c:crosses val="autoZero"/>
        <c:auto val="1"/>
        <c:lblAlgn val="ctr"/>
        <c:lblOffset val="100"/>
        <c:noMultiLvlLbl val="0"/>
      </c:catAx>
      <c:valAx>
        <c:axId val="2725309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71763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[4. Grupo-ACADEMICO.xlsx]Sexo dos estudantes!Tabela dinâmica4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800" b="1" i="0" u="none" strike="noStrike" baseline="0"/>
              <a:t>Sexo dos estudantes</a:t>
            </a:r>
            <a:endParaRPr lang="en-US"/>
          </a:p>
        </c:rich>
      </c:tx>
      <c:layout>
        <c:manualLayout>
          <c:xMode val="edge"/>
          <c:yMode val="edge"/>
          <c:x val="0.31705026562401351"/>
          <c:y val="2.77344933163520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'Sexo dos estudantes'!$B$3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'Sexo dos estudantes'!$A$4:$A$6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'Sexo dos estudantes'!$B$4:$B$6</c:f>
              <c:numCache>
                <c:formatCode>General</c:formatCode>
                <c:ptCount val="2"/>
                <c:pt idx="0">
                  <c:v>8</c:v>
                </c:pt>
                <c:pt idx="1">
                  <c:v>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376767</xdr:colOff>
      <xdr:row>1</xdr:row>
      <xdr:rowOff>95250</xdr:rowOff>
    </xdr:from>
    <xdr:to>
      <xdr:col>9</xdr:col>
      <xdr:colOff>454025</xdr:colOff>
      <xdr:row>11</xdr:row>
      <xdr:rowOff>171450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520700</xdr:colOff>
      <xdr:row>1</xdr:row>
      <xdr:rowOff>119593</xdr:rowOff>
    </xdr:from>
    <xdr:to>
      <xdr:col>13</xdr:col>
      <xdr:colOff>317499</xdr:colOff>
      <xdr:row>11</xdr:row>
      <xdr:rowOff>167218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374650</xdr:colOff>
      <xdr:row>0</xdr:row>
      <xdr:rowOff>131234</xdr:rowOff>
    </xdr:from>
    <xdr:to>
      <xdr:col>16</xdr:col>
      <xdr:colOff>369358</xdr:colOff>
      <xdr:row>6</xdr:row>
      <xdr:rowOff>121709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urs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280650" y="131234"/>
              <a:ext cx="1836208" cy="1133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9</xdr:col>
      <xdr:colOff>569383</xdr:colOff>
      <xdr:row>13</xdr:row>
      <xdr:rowOff>6349</xdr:rowOff>
    </xdr:from>
    <xdr:to>
      <xdr:col>13</xdr:col>
      <xdr:colOff>42334</xdr:colOff>
      <xdr:row>25</xdr:row>
      <xdr:rowOff>179915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137584</xdr:colOff>
      <xdr:row>13</xdr:row>
      <xdr:rowOff>42333</xdr:rowOff>
    </xdr:from>
    <xdr:to>
      <xdr:col>9</xdr:col>
      <xdr:colOff>539749</xdr:colOff>
      <xdr:row>26</xdr:row>
      <xdr:rowOff>27516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14</xdr:row>
      <xdr:rowOff>104775</xdr:rowOff>
    </xdr:from>
    <xdr:to>
      <xdr:col>15</xdr:col>
      <xdr:colOff>438150</xdr:colOff>
      <xdr:row>19</xdr:row>
      <xdr:rowOff>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Sex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77275" y="2771775"/>
              <a:ext cx="1828800" cy="847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447675</xdr:colOff>
      <xdr:row>0</xdr:row>
      <xdr:rowOff>95251</xdr:rowOff>
    </xdr:from>
    <xdr:to>
      <xdr:col>18</xdr:col>
      <xdr:colOff>447675</xdr:colOff>
      <xdr:row>6</xdr:row>
      <xdr:rowOff>95251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Curs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15600" y="95251"/>
              <a:ext cx="1828800" cy="1143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457200</xdr:colOff>
      <xdr:row>7</xdr:row>
      <xdr:rowOff>1</xdr:rowOff>
    </xdr:from>
    <xdr:to>
      <xdr:col>18</xdr:col>
      <xdr:colOff>457200</xdr:colOff>
      <xdr:row>14</xdr:row>
      <xdr:rowOff>57151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25125" y="1333501"/>
              <a:ext cx="1828800" cy="1390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400050</xdr:colOff>
      <xdr:row>0</xdr:row>
      <xdr:rowOff>66675</xdr:rowOff>
    </xdr:from>
    <xdr:to>
      <xdr:col>12</xdr:col>
      <xdr:colOff>400050</xdr:colOff>
      <xdr:row>19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Disciplin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0375" y="66675"/>
              <a:ext cx="1828800" cy="3581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409575</xdr:colOff>
      <xdr:row>0</xdr:row>
      <xdr:rowOff>76200</xdr:rowOff>
    </xdr:from>
    <xdr:to>
      <xdr:col>15</xdr:col>
      <xdr:colOff>409575</xdr:colOff>
      <xdr:row>13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Docen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oc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48700" y="762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1171576</xdr:colOff>
      <xdr:row>0</xdr:row>
      <xdr:rowOff>28574</xdr:rowOff>
    </xdr:from>
    <xdr:to>
      <xdr:col>9</xdr:col>
      <xdr:colOff>314326</xdr:colOff>
      <xdr:row>18</xdr:row>
      <xdr:rowOff>161925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abiao Mungai Fabiao" refreshedDate="46202.510031018515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 count="2">
        <s v="F"/>
        <s v="M"/>
      </sharedItems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/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/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 count="2">
        <s v="Aprovado"/>
        <s v="Reprovado"/>
      </sharedItems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Fabiao Mungai Fabiao" refreshedDate="46203.432454745373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 count="2">
        <s v="F"/>
        <s v="M"/>
      </sharedItems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 count="4">
        <n v="4"/>
        <n v="3"/>
        <n v="2"/>
        <n v="1"/>
      </sharedItems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 count="15">
        <s v="Doc6"/>
        <s v="Doc2"/>
        <s v="Doc5"/>
        <s v="Doc3"/>
        <s v="Doc11"/>
        <s v="Doc15"/>
        <s v="Doc10"/>
        <s v="Doc13"/>
        <s v="Doc7"/>
        <s v="Doc1"/>
        <s v="Doc4"/>
        <s v="Doc12"/>
        <s v="Doc14"/>
        <s v="Doc9"/>
        <s v="Doc8"/>
      </sharedItems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/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Fabiao Mungai Fabiao" refreshedDate="46203.443974884256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/>
    </cacheField>
    <cacheField name="Idade" numFmtId="0">
      <sharedItems containsSemiMixedTypes="0" containsString="0" containsNumber="1" containsInteger="1" minValue="18" maxValue="35"/>
    </cacheField>
    <cacheField name="Curso" numFmtId="0">
      <sharedItems/>
    </cacheField>
    <cacheField name="Faculdade" numFmtId="0">
      <sharedItems/>
    </cacheField>
    <cacheField name="Ano" numFmtId="0">
      <sharedItems containsSemiMixedTypes="0" containsString="0" containsNumber="1" containsInteger="1" minValue="1" maxValue="4"/>
    </cacheField>
    <cacheField name="Turma" numFmtId="0">
      <sharedItems/>
    </cacheField>
    <cacheField name="Disciplina" numFmtId="0">
      <sharedItems/>
    </cacheField>
    <cacheField name="Docente" numFmtId="0">
      <sharedItems/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/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0">
  <r>
    <n v="1"/>
    <s v="Est 1"/>
    <x v="0"/>
    <n v="29"/>
    <x v="0"/>
    <s v="FACE"/>
    <n v="4"/>
    <s v="T2"/>
    <x v="0"/>
    <s v="Doc6"/>
    <n v="2"/>
    <n v="12.5"/>
    <n v="15.8"/>
    <n v="16.600000000000001"/>
    <n v="14.966666666666669"/>
    <n v="77"/>
    <n v="8"/>
    <x v="0"/>
    <s v="Maputo"/>
    <s v="Sofala"/>
    <s v="Não"/>
    <n v="2022"/>
    <s v="Laboral"/>
    <s v="Noite"/>
    <s v="Ativo"/>
  </r>
  <r>
    <n v="2"/>
    <s v="Est 2"/>
    <x v="1"/>
    <n v="27"/>
    <x v="1"/>
    <s v="FACE"/>
    <n v="3"/>
    <s v="T1"/>
    <x v="0"/>
    <s v="Doc2"/>
    <n v="2"/>
    <n v="15"/>
    <n v="16.8"/>
    <n v="20"/>
    <n v="17.266666666666666"/>
    <n v="62"/>
    <n v="4"/>
    <x v="0"/>
    <s v="Nampula"/>
    <s v="Nampula"/>
    <s v="Não"/>
    <n v="2025"/>
    <s v="Pós"/>
    <s v="Noite"/>
    <s v="Ativo"/>
  </r>
  <r>
    <n v="3"/>
    <s v="Est 3"/>
    <x v="0"/>
    <n v="31"/>
    <x v="2"/>
    <s v="FACE"/>
    <n v="2"/>
    <s v="T1"/>
    <x v="1"/>
    <s v="Doc5"/>
    <n v="1"/>
    <n v="11.8"/>
    <n v="13.8"/>
    <n v="13.2"/>
    <n v="12.933333333333332"/>
    <n v="70"/>
    <n v="7"/>
    <x v="0"/>
    <s v="Maputo"/>
    <s v="Maputo"/>
    <s v="Não"/>
    <n v="2023"/>
    <s v="Pós"/>
    <s v="Noite"/>
    <s v="Ativo"/>
  </r>
  <r>
    <n v="4"/>
    <s v="Est 4"/>
    <x v="1"/>
    <n v="31"/>
    <x v="1"/>
    <s v="FACE"/>
    <n v="1"/>
    <s v="T4"/>
    <x v="0"/>
    <s v="Doc3"/>
    <n v="2"/>
    <n v="16.3"/>
    <n v="14.4"/>
    <n v="17.100000000000001"/>
    <n v="15.933333333333335"/>
    <n v="99"/>
    <n v="5"/>
    <x v="0"/>
    <s v="Maputo"/>
    <s v="Sofala"/>
    <s v="Não"/>
    <n v="2025"/>
    <s v="Laboral"/>
    <s v="Manhã"/>
    <s v="Ativo"/>
  </r>
  <r>
    <n v="5"/>
    <s v="Est 5"/>
    <x v="0"/>
    <n v="19"/>
    <x v="0"/>
    <s v="FACE"/>
    <n v="1"/>
    <s v="T4"/>
    <x v="2"/>
    <s v="Doc11"/>
    <n v="2"/>
    <n v="12.3"/>
    <n v="13.4"/>
    <n v="18.2"/>
    <n v="14.633333333333335"/>
    <n v="98"/>
    <n v="7"/>
    <x v="0"/>
    <s v="Beira"/>
    <s v="Sofala"/>
    <s v="Sim"/>
    <n v="2025"/>
    <s v="Laboral"/>
    <s v="Manhã"/>
    <s v="Ativo"/>
  </r>
  <r>
    <n v="6"/>
    <s v="Est 6"/>
    <x v="0"/>
    <n v="34"/>
    <x v="1"/>
    <s v="FACE"/>
    <n v="4"/>
    <s v="T2"/>
    <x v="3"/>
    <s v="Doc15"/>
    <n v="1"/>
    <n v="12.5"/>
    <n v="9.9"/>
    <n v="14.4"/>
    <n v="12.266666666666666"/>
    <n v="69"/>
    <n v="5"/>
    <x v="0"/>
    <s v="Beira"/>
    <s v="Sofala"/>
    <s v="Sim"/>
    <n v="2026"/>
    <s v="Pós"/>
    <s v="Noite"/>
    <s v="Ativo"/>
  </r>
  <r>
    <n v="7"/>
    <s v="Est 7"/>
    <x v="1"/>
    <n v="27"/>
    <x v="1"/>
    <s v="FACE"/>
    <n v="3"/>
    <s v="T4"/>
    <x v="4"/>
    <s v="Doc11"/>
    <n v="2"/>
    <n v="15.5"/>
    <n v="10.3"/>
    <n v="10.1"/>
    <n v="11.966666666666667"/>
    <n v="68"/>
    <n v="4"/>
    <x v="0"/>
    <s v="Nampula"/>
    <s v="Nampula"/>
    <s v="Sim"/>
    <n v="2025"/>
    <s v="Laboral"/>
    <s v="Noite"/>
    <s v="Ativo"/>
  </r>
  <r>
    <n v="8"/>
    <s v="Est 8"/>
    <x v="0"/>
    <n v="29"/>
    <x v="1"/>
    <s v="FACE"/>
    <n v="2"/>
    <s v="T1"/>
    <x v="5"/>
    <s v="Doc10"/>
    <n v="2"/>
    <n v="11.4"/>
    <n v="15.1"/>
    <n v="16.399999999999999"/>
    <n v="14.299999999999999"/>
    <n v="88"/>
    <n v="8"/>
    <x v="0"/>
    <s v="Maputo"/>
    <s v="Maputo"/>
    <s v="Não"/>
    <n v="2025"/>
    <s v="Laboral"/>
    <s v="Manhã"/>
    <s v="Ativo"/>
  </r>
  <r>
    <n v="9"/>
    <s v="Est 9"/>
    <x v="1"/>
    <n v="23"/>
    <x v="0"/>
    <s v="FACE"/>
    <n v="1"/>
    <s v="T4"/>
    <x v="4"/>
    <s v="Doc13"/>
    <n v="2"/>
    <n v="9.9"/>
    <n v="17.899999999999999"/>
    <n v="18.399999999999999"/>
    <n v="15.399999999999999"/>
    <n v="89"/>
    <n v="7"/>
    <x v="0"/>
    <s v="Nampula"/>
    <s v="Nampula"/>
    <s v="Sim"/>
    <n v="2024"/>
    <s v="Pós"/>
    <s v="Manhã"/>
    <s v="Ativo"/>
  </r>
  <r>
    <n v="10"/>
    <s v="Est 10"/>
    <x v="1"/>
    <n v="20"/>
    <x v="0"/>
    <s v="FACE"/>
    <n v="2"/>
    <s v="T4"/>
    <x v="6"/>
    <s v="Doc5"/>
    <n v="1"/>
    <n v="14.1"/>
    <n v="13.8"/>
    <n v="12.6"/>
    <n v="13.5"/>
    <n v="61"/>
    <n v="8"/>
    <x v="0"/>
    <s v="Nampula"/>
    <s v="Sofala"/>
    <s v="Sim"/>
    <n v="2024"/>
    <s v="Laboral"/>
    <s v="Noite"/>
    <s v="Ativo"/>
  </r>
  <r>
    <n v="11"/>
    <s v="Est 11"/>
    <x v="1"/>
    <n v="26"/>
    <x v="0"/>
    <s v="FACE"/>
    <n v="3"/>
    <s v="T1"/>
    <x v="7"/>
    <s v="Doc7"/>
    <n v="2"/>
    <n v="14.8"/>
    <n v="14.4"/>
    <n v="16.8"/>
    <n v="15.333333333333334"/>
    <n v="78"/>
    <n v="8"/>
    <x v="0"/>
    <s v="Beira"/>
    <s v="Maputo"/>
    <s v="Sim"/>
    <n v="2024"/>
    <s v="Laboral"/>
    <s v="Noite"/>
    <s v="Ativo"/>
  </r>
  <r>
    <n v="12"/>
    <s v="Est 12"/>
    <x v="0"/>
    <n v="25"/>
    <x v="2"/>
    <s v="FACE"/>
    <n v="3"/>
    <s v="T4"/>
    <x v="8"/>
    <s v="Doc3"/>
    <n v="2"/>
    <n v="9.8000000000000007"/>
    <n v="15.2"/>
    <n v="18.899999999999999"/>
    <n v="14.633333333333333"/>
    <n v="89"/>
    <n v="4"/>
    <x v="0"/>
    <s v="Beira"/>
    <s v="Sofala"/>
    <s v="Não"/>
    <n v="2024"/>
    <s v="Laboral"/>
    <s v="Manhã"/>
    <s v="Ativo"/>
  </r>
  <r>
    <n v="13"/>
    <s v="Est 13"/>
    <x v="0"/>
    <n v="27"/>
    <x v="2"/>
    <s v="FACE"/>
    <n v="2"/>
    <s v="T1"/>
    <x v="8"/>
    <s v="Doc3"/>
    <n v="2"/>
    <n v="8.5"/>
    <n v="12.6"/>
    <n v="14.5"/>
    <n v="11.866666666666667"/>
    <n v="66"/>
    <n v="8"/>
    <x v="0"/>
    <s v="Beira"/>
    <s v="Nampula"/>
    <s v="Sim"/>
    <n v="2026"/>
    <s v="Pós"/>
    <s v="Manhã"/>
    <s v="Ativo"/>
  </r>
  <r>
    <n v="14"/>
    <s v="Est 14"/>
    <x v="0"/>
    <n v="22"/>
    <x v="0"/>
    <s v="FACE"/>
    <n v="1"/>
    <s v="T3"/>
    <x v="0"/>
    <s v="Doc13"/>
    <n v="1"/>
    <n v="9.5"/>
    <n v="10.9"/>
    <n v="12.9"/>
    <n v="11.1"/>
    <n v="85"/>
    <n v="4"/>
    <x v="0"/>
    <s v="Beira"/>
    <s v="Maputo"/>
    <s v="Sim"/>
    <n v="2023"/>
    <s v="Pós"/>
    <s v="Noite"/>
    <s v="Ativo"/>
  </r>
  <r>
    <n v="15"/>
    <s v="Est 15"/>
    <x v="1"/>
    <n v="20"/>
    <x v="2"/>
    <s v="FACE"/>
    <n v="2"/>
    <s v="T3"/>
    <x v="7"/>
    <s v="Doc10"/>
    <n v="2"/>
    <n v="8.8000000000000007"/>
    <n v="17"/>
    <n v="11.2"/>
    <n v="12.333333333333334"/>
    <n v="77"/>
    <n v="7"/>
    <x v="0"/>
    <s v="Nampula"/>
    <s v="Maputo"/>
    <s v="Sim"/>
    <n v="2026"/>
    <s v="Pós"/>
    <s v="Manhã"/>
    <s v="Ativo"/>
  </r>
  <r>
    <n v="16"/>
    <s v="Est 16"/>
    <x v="0"/>
    <n v="32"/>
    <x v="1"/>
    <s v="FACE"/>
    <n v="4"/>
    <s v="T3"/>
    <x v="4"/>
    <s v="Doc11"/>
    <n v="2"/>
    <n v="17.5"/>
    <n v="15.8"/>
    <n v="8.5"/>
    <n v="13.933333333333332"/>
    <n v="75"/>
    <n v="8"/>
    <x v="0"/>
    <s v="Nampula"/>
    <s v="Sofala"/>
    <s v="Não"/>
    <n v="2025"/>
    <s v="Laboral"/>
    <s v="Noite"/>
    <s v="Ativo"/>
  </r>
  <r>
    <n v="17"/>
    <s v="Est 17"/>
    <x v="1"/>
    <n v="34"/>
    <x v="1"/>
    <s v="FACE"/>
    <n v="2"/>
    <s v="T3"/>
    <x v="6"/>
    <s v="Doc1"/>
    <n v="1"/>
    <n v="15"/>
    <n v="15"/>
    <n v="19.399999999999999"/>
    <n v="16.466666666666665"/>
    <n v="96"/>
    <n v="4"/>
    <x v="0"/>
    <s v="Beira"/>
    <s v="Sofala"/>
    <s v="Sim"/>
    <n v="2023"/>
    <s v="Laboral"/>
    <s v="Manhã"/>
    <s v="Ativo"/>
  </r>
  <r>
    <n v="18"/>
    <s v="Est 18"/>
    <x v="0"/>
    <n v="29"/>
    <x v="2"/>
    <s v="FACE"/>
    <n v="1"/>
    <s v="T2"/>
    <x v="5"/>
    <s v="Doc11"/>
    <n v="2"/>
    <n v="11.7"/>
    <n v="11.2"/>
    <n v="9.1"/>
    <n v="10.666666666666666"/>
    <n v="89"/>
    <n v="4"/>
    <x v="0"/>
    <s v="Nampula"/>
    <s v="Nampula"/>
    <s v="Sim"/>
    <n v="2022"/>
    <s v="Laboral"/>
    <s v="Manhã"/>
    <s v="Ativo"/>
  </r>
  <r>
    <n v="19"/>
    <s v="Est 19"/>
    <x v="1"/>
    <n v="28"/>
    <x v="0"/>
    <s v="FACE"/>
    <n v="3"/>
    <s v="T4"/>
    <x v="5"/>
    <s v="Doc4"/>
    <n v="1"/>
    <n v="9.6"/>
    <n v="8"/>
    <n v="10.5"/>
    <n v="9.3666666666666671"/>
    <n v="78"/>
    <n v="6"/>
    <x v="1"/>
    <s v="Beira"/>
    <s v="Maputo"/>
    <s v="Não"/>
    <n v="2026"/>
    <s v="Laboral"/>
    <s v="Noite"/>
    <s v="Ativo"/>
  </r>
  <r>
    <n v="20"/>
    <s v="Est 20"/>
    <x v="0"/>
    <n v="22"/>
    <x v="1"/>
    <s v="FACE"/>
    <n v="1"/>
    <s v="T2"/>
    <x v="8"/>
    <s v="Doc12"/>
    <n v="1"/>
    <n v="8.4"/>
    <n v="15.1"/>
    <n v="18.8"/>
    <n v="14.1"/>
    <n v="100"/>
    <n v="5"/>
    <x v="0"/>
    <s v="Nampula"/>
    <s v="Nampula"/>
    <s v="Sim"/>
    <n v="2022"/>
    <s v="Pós"/>
    <s v="Manhã"/>
    <s v="Ativo"/>
  </r>
  <r>
    <n v="21"/>
    <s v="Est 21"/>
    <x v="0"/>
    <n v="22"/>
    <x v="1"/>
    <s v="FACE"/>
    <n v="3"/>
    <s v="T2"/>
    <x v="3"/>
    <s v="Doc2"/>
    <n v="1"/>
    <n v="14.1"/>
    <n v="11.1"/>
    <n v="8"/>
    <n v="11.066666666666668"/>
    <n v="81"/>
    <n v="8"/>
    <x v="0"/>
    <s v="Nampula"/>
    <s v="Sofala"/>
    <s v="Não"/>
    <n v="2026"/>
    <s v="Pós"/>
    <s v="Manhã"/>
    <s v="Ativo"/>
  </r>
  <r>
    <n v="22"/>
    <s v="Est 22"/>
    <x v="1"/>
    <n v="30"/>
    <x v="2"/>
    <s v="FACE"/>
    <n v="1"/>
    <s v="T3"/>
    <x v="4"/>
    <s v="Doc3"/>
    <n v="1"/>
    <n v="14.8"/>
    <n v="17.2"/>
    <n v="9.9"/>
    <n v="13.966666666666667"/>
    <n v="74"/>
    <n v="4"/>
    <x v="0"/>
    <s v="Maputo"/>
    <s v="Sofala"/>
    <s v="Sim"/>
    <n v="2026"/>
    <s v="Laboral"/>
    <s v="Noite"/>
    <s v="Ativo"/>
  </r>
  <r>
    <n v="23"/>
    <s v="Est 23"/>
    <x v="1"/>
    <n v="19"/>
    <x v="1"/>
    <s v="FACE"/>
    <n v="4"/>
    <s v="T3"/>
    <x v="7"/>
    <s v="Doc2"/>
    <n v="1"/>
    <n v="15.8"/>
    <n v="16.600000000000001"/>
    <n v="9.5"/>
    <n v="13.966666666666669"/>
    <n v="61"/>
    <n v="5"/>
    <x v="0"/>
    <s v="Maputo"/>
    <s v="Maputo"/>
    <s v="Sim"/>
    <n v="2022"/>
    <s v="Pós"/>
    <s v="Manhã"/>
    <s v="Ativo"/>
  </r>
  <r>
    <n v="24"/>
    <s v="Est 24"/>
    <x v="0"/>
    <n v="34"/>
    <x v="1"/>
    <s v="FACE"/>
    <n v="3"/>
    <s v="T2"/>
    <x v="3"/>
    <s v="Doc2"/>
    <n v="2"/>
    <n v="13.3"/>
    <n v="13.6"/>
    <n v="11.2"/>
    <n v="12.699999999999998"/>
    <n v="92"/>
    <n v="7"/>
    <x v="0"/>
    <s v="Beira"/>
    <s v="Sofala"/>
    <s v="Sim"/>
    <n v="2023"/>
    <s v="Pós"/>
    <s v="Noite"/>
    <s v="Ativo"/>
  </r>
  <r>
    <n v="25"/>
    <s v="Est 25"/>
    <x v="0"/>
    <n v="20"/>
    <x v="2"/>
    <s v="FACE"/>
    <n v="4"/>
    <s v="T4"/>
    <x v="5"/>
    <s v="Doc13"/>
    <n v="2"/>
    <n v="15.2"/>
    <n v="17.899999999999999"/>
    <n v="8.6999999999999993"/>
    <n v="13.933333333333332"/>
    <n v="61"/>
    <n v="4"/>
    <x v="0"/>
    <s v="Maputo"/>
    <s v="Sofala"/>
    <s v="Não"/>
    <n v="2026"/>
    <s v="Pós"/>
    <s v="Noite"/>
    <s v="Ativo"/>
  </r>
  <r>
    <n v="26"/>
    <s v="Est 26"/>
    <x v="0"/>
    <n v="30"/>
    <x v="0"/>
    <s v="FACE"/>
    <n v="1"/>
    <s v="T2"/>
    <x v="9"/>
    <s v="Doc11"/>
    <n v="1"/>
    <n v="8.3000000000000007"/>
    <n v="16.600000000000001"/>
    <n v="14.1"/>
    <n v="13"/>
    <n v="81"/>
    <n v="5"/>
    <x v="0"/>
    <s v="Beira"/>
    <s v="Maputo"/>
    <s v="Sim"/>
    <n v="2024"/>
    <s v="Pós"/>
    <s v="Noite"/>
    <s v="Ativo"/>
  </r>
  <r>
    <n v="27"/>
    <s v="Est 27"/>
    <x v="0"/>
    <n v="34"/>
    <x v="2"/>
    <s v="FACE"/>
    <n v="4"/>
    <s v="T2"/>
    <x v="4"/>
    <s v="Doc14"/>
    <n v="2"/>
    <n v="10"/>
    <n v="12.4"/>
    <n v="18.100000000000001"/>
    <n v="13.5"/>
    <n v="72"/>
    <n v="4"/>
    <x v="0"/>
    <s v="Beira"/>
    <s v="Nampula"/>
    <s v="Sim"/>
    <n v="2023"/>
    <s v="Laboral"/>
    <s v="Noite"/>
    <s v="Ativo"/>
  </r>
  <r>
    <n v="28"/>
    <s v="Est 28"/>
    <x v="1"/>
    <n v="25"/>
    <x v="2"/>
    <s v="FACE"/>
    <n v="1"/>
    <s v="T3"/>
    <x v="4"/>
    <s v="Doc4"/>
    <n v="2"/>
    <n v="12.8"/>
    <n v="11"/>
    <n v="14.9"/>
    <n v="12.9"/>
    <n v="88"/>
    <n v="8"/>
    <x v="0"/>
    <s v="Maputo"/>
    <s v="Maputo"/>
    <s v="Não"/>
    <n v="2022"/>
    <s v="Laboral"/>
    <s v="Manhã"/>
    <s v="Ativo"/>
  </r>
  <r>
    <n v="29"/>
    <s v="Est 29"/>
    <x v="0"/>
    <n v="31"/>
    <x v="1"/>
    <s v="FACE"/>
    <n v="1"/>
    <s v="T4"/>
    <x v="4"/>
    <s v="Doc3"/>
    <n v="2"/>
    <n v="11.1"/>
    <n v="8.6999999999999993"/>
    <n v="10.7"/>
    <n v="10.166666666666666"/>
    <n v="65"/>
    <n v="7"/>
    <x v="0"/>
    <s v="Nampula"/>
    <s v="Sofala"/>
    <s v="Não"/>
    <n v="2022"/>
    <s v="Laboral"/>
    <s v="Manhã"/>
    <s v="Ativo"/>
  </r>
  <r>
    <n v="30"/>
    <s v="Est 30"/>
    <x v="0"/>
    <n v="24"/>
    <x v="1"/>
    <s v="FACE"/>
    <n v="4"/>
    <s v="T1"/>
    <x v="8"/>
    <s v="Doc4"/>
    <n v="2"/>
    <n v="11.7"/>
    <n v="16.100000000000001"/>
    <n v="11.3"/>
    <n v="13.033333333333333"/>
    <n v="96"/>
    <n v="8"/>
    <x v="0"/>
    <s v="Nampula"/>
    <s v="Maputo"/>
    <s v="Não"/>
    <n v="2023"/>
    <s v="Pós"/>
    <s v="Noite"/>
    <s v="Ativo"/>
  </r>
  <r>
    <n v="31"/>
    <s v="Est 31"/>
    <x v="1"/>
    <n v="28"/>
    <x v="2"/>
    <s v="FACE"/>
    <n v="1"/>
    <s v="T1"/>
    <x v="10"/>
    <s v="Doc9"/>
    <n v="2"/>
    <n v="10.7"/>
    <n v="13.7"/>
    <n v="13.2"/>
    <n v="12.533333333333331"/>
    <n v="92"/>
    <n v="6"/>
    <x v="0"/>
    <s v="Nampula"/>
    <s v="Maputo"/>
    <s v="Não"/>
    <n v="2022"/>
    <s v="Pós"/>
    <s v="Manhã"/>
    <s v="Ativo"/>
  </r>
  <r>
    <n v="32"/>
    <s v="Est 32"/>
    <x v="1"/>
    <n v="29"/>
    <x v="1"/>
    <s v="FACE"/>
    <n v="2"/>
    <s v="T1"/>
    <x v="6"/>
    <s v="Doc9"/>
    <n v="1"/>
    <n v="16.5"/>
    <n v="9.3000000000000007"/>
    <n v="14.2"/>
    <n v="13.333333333333334"/>
    <n v="80"/>
    <n v="7"/>
    <x v="0"/>
    <s v="Maputo"/>
    <s v="Nampula"/>
    <s v="Não"/>
    <n v="2022"/>
    <s v="Pós"/>
    <s v="Noite"/>
    <s v="Ativo"/>
  </r>
  <r>
    <n v="33"/>
    <s v="Est 33"/>
    <x v="0"/>
    <n v="33"/>
    <x v="2"/>
    <s v="FACE"/>
    <n v="2"/>
    <s v="T4"/>
    <x v="8"/>
    <s v="Doc12"/>
    <n v="1"/>
    <n v="17.3"/>
    <n v="14"/>
    <n v="8.4"/>
    <n v="13.233333333333334"/>
    <n v="70"/>
    <n v="5"/>
    <x v="0"/>
    <s v="Nampula"/>
    <s v="Sofala"/>
    <s v="Sim"/>
    <n v="2025"/>
    <s v="Pós"/>
    <s v="Noite"/>
    <s v="Ativo"/>
  </r>
  <r>
    <n v="34"/>
    <s v="Est 34"/>
    <x v="0"/>
    <n v="26"/>
    <x v="1"/>
    <s v="FACE"/>
    <n v="4"/>
    <s v="T4"/>
    <x v="3"/>
    <s v="Doc9"/>
    <n v="2"/>
    <n v="15.6"/>
    <n v="15.8"/>
    <n v="19.5"/>
    <n v="16.966666666666665"/>
    <n v="64"/>
    <n v="4"/>
    <x v="0"/>
    <s v="Maputo"/>
    <s v="Sofala"/>
    <s v="Não"/>
    <n v="2024"/>
    <s v="Laboral"/>
    <s v="Manhã"/>
    <s v="Ativo"/>
  </r>
  <r>
    <n v="35"/>
    <s v="Est 35"/>
    <x v="1"/>
    <n v="26"/>
    <x v="1"/>
    <s v="FACE"/>
    <n v="2"/>
    <s v="T1"/>
    <x v="11"/>
    <s v="Doc14"/>
    <n v="1"/>
    <n v="15.4"/>
    <n v="15.6"/>
    <n v="13.3"/>
    <n v="14.766666666666666"/>
    <n v="87"/>
    <n v="4"/>
    <x v="0"/>
    <s v="Beira"/>
    <s v="Sofala"/>
    <s v="Não"/>
    <n v="2024"/>
    <s v="Laboral"/>
    <s v="Manhã"/>
    <s v="Ativo"/>
  </r>
  <r>
    <n v="36"/>
    <s v="Est 36"/>
    <x v="1"/>
    <n v="35"/>
    <x v="1"/>
    <s v="FACE"/>
    <n v="4"/>
    <s v="T2"/>
    <x v="7"/>
    <s v="Doc6"/>
    <n v="2"/>
    <n v="17.899999999999999"/>
    <n v="13.8"/>
    <n v="17.3"/>
    <n v="16.333333333333332"/>
    <n v="92"/>
    <n v="7"/>
    <x v="0"/>
    <s v="Nampula"/>
    <s v="Sofala"/>
    <s v="Não"/>
    <n v="2026"/>
    <s v="Pós"/>
    <s v="Manhã"/>
    <s v="Ativo"/>
  </r>
  <r>
    <n v="37"/>
    <s v="Est 37"/>
    <x v="1"/>
    <n v="34"/>
    <x v="2"/>
    <s v="FACE"/>
    <n v="2"/>
    <s v="T2"/>
    <x v="0"/>
    <s v="Doc14"/>
    <n v="1"/>
    <n v="16.899999999999999"/>
    <n v="11.2"/>
    <n v="8.3000000000000007"/>
    <n v="12.133333333333333"/>
    <n v="64"/>
    <n v="5"/>
    <x v="0"/>
    <s v="Nampula"/>
    <s v="Maputo"/>
    <s v="Sim"/>
    <n v="2025"/>
    <s v="Laboral"/>
    <s v="Manhã"/>
    <s v="Ativo"/>
  </r>
  <r>
    <n v="38"/>
    <s v="Est 38"/>
    <x v="1"/>
    <n v="30"/>
    <x v="1"/>
    <s v="FACE"/>
    <n v="4"/>
    <s v="T2"/>
    <x v="0"/>
    <s v="Doc2"/>
    <n v="2"/>
    <n v="13.4"/>
    <n v="16.3"/>
    <n v="13.6"/>
    <n v="14.433333333333335"/>
    <n v="73"/>
    <n v="6"/>
    <x v="0"/>
    <s v="Maputo"/>
    <s v="Sofala"/>
    <s v="Sim"/>
    <n v="2022"/>
    <s v="Pós"/>
    <s v="Manhã"/>
    <s v="Ativo"/>
  </r>
  <r>
    <n v="39"/>
    <s v="Est 39"/>
    <x v="1"/>
    <n v="29"/>
    <x v="0"/>
    <s v="FACE"/>
    <n v="3"/>
    <s v="T3"/>
    <x v="4"/>
    <s v="Doc15"/>
    <n v="2"/>
    <n v="11"/>
    <n v="12.6"/>
    <n v="11.5"/>
    <n v="11.700000000000001"/>
    <n v="92"/>
    <n v="6"/>
    <x v="0"/>
    <s v="Nampula"/>
    <s v="Maputo"/>
    <s v="Sim"/>
    <n v="2023"/>
    <s v="Laboral"/>
    <s v="Noite"/>
    <s v="Ativo"/>
  </r>
  <r>
    <n v="40"/>
    <s v="Est 40"/>
    <x v="1"/>
    <n v="19"/>
    <x v="0"/>
    <s v="FACE"/>
    <n v="4"/>
    <s v="T2"/>
    <x v="4"/>
    <s v="Doc7"/>
    <n v="1"/>
    <n v="9.1999999999999993"/>
    <n v="15"/>
    <n v="8.3000000000000007"/>
    <n v="10.833333333333334"/>
    <n v="97"/>
    <n v="5"/>
    <x v="0"/>
    <s v="Nampula"/>
    <s v="Maputo"/>
    <s v="Sim"/>
    <n v="2022"/>
    <s v="Pós"/>
    <s v="Manhã"/>
    <s v="Ativo"/>
  </r>
  <r>
    <n v="41"/>
    <s v="Est 41"/>
    <x v="0"/>
    <n v="22"/>
    <x v="1"/>
    <s v="FACE"/>
    <n v="3"/>
    <s v="T2"/>
    <x v="2"/>
    <s v="Doc2"/>
    <n v="2"/>
    <n v="9.3000000000000007"/>
    <n v="15.6"/>
    <n v="11.6"/>
    <n v="12.166666666666666"/>
    <n v="99"/>
    <n v="5"/>
    <x v="0"/>
    <s v="Maputo"/>
    <s v="Maputo"/>
    <s v="Não"/>
    <n v="2026"/>
    <s v="Pós"/>
    <s v="Noite"/>
    <s v="Ativo"/>
  </r>
  <r>
    <n v="42"/>
    <s v="Est 42"/>
    <x v="1"/>
    <n v="23"/>
    <x v="2"/>
    <s v="FACE"/>
    <n v="3"/>
    <s v="T1"/>
    <x v="10"/>
    <s v="Doc3"/>
    <n v="2"/>
    <n v="10.1"/>
    <n v="14.4"/>
    <n v="19.600000000000001"/>
    <n v="14.700000000000001"/>
    <n v="67"/>
    <n v="5"/>
    <x v="0"/>
    <s v="Maputo"/>
    <s v="Sofala"/>
    <s v="Não"/>
    <n v="2026"/>
    <s v="Laboral"/>
    <s v="Noite"/>
    <s v="Ativo"/>
  </r>
  <r>
    <n v="43"/>
    <s v="Est 43"/>
    <x v="1"/>
    <n v="33"/>
    <x v="1"/>
    <s v="FACE"/>
    <n v="1"/>
    <s v="T3"/>
    <x v="4"/>
    <s v="Doc8"/>
    <n v="1"/>
    <n v="14.7"/>
    <n v="8.8000000000000007"/>
    <n v="16.600000000000001"/>
    <n v="13.366666666666667"/>
    <n v="70"/>
    <n v="7"/>
    <x v="0"/>
    <s v="Maputo"/>
    <s v="Nampula"/>
    <s v="Não"/>
    <n v="2022"/>
    <s v="Laboral"/>
    <s v="Noite"/>
    <s v="Ativo"/>
  </r>
  <r>
    <n v="44"/>
    <s v="Est 44"/>
    <x v="1"/>
    <n v="24"/>
    <x v="1"/>
    <s v="FACE"/>
    <n v="1"/>
    <s v="T3"/>
    <x v="5"/>
    <s v="Doc4"/>
    <n v="2"/>
    <n v="13.2"/>
    <n v="16.2"/>
    <n v="11.4"/>
    <n v="13.6"/>
    <n v="93"/>
    <n v="6"/>
    <x v="0"/>
    <s v="Maputo"/>
    <s v="Maputo"/>
    <s v="Não"/>
    <n v="2023"/>
    <s v="Laboral"/>
    <s v="Manhã"/>
    <s v="Ativo"/>
  </r>
  <r>
    <n v="45"/>
    <s v="Est 45"/>
    <x v="0"/>
    <n v="29"/>
    <x v="1"/>
    <s v="FACE"/>
    <n v="3"/>
    <s v="T1"/>
    <x v="0"/>
    <s v="Doc2"/>
    <n v="1"/>
    <n v="15"/>
    <n v="9.8000000000000007"/>
    <n v="12.8"/>
    <n v="12.533333333333333"/>
    <n v="88"/>
    <n v="8"/>
    <x v="0"/>
    <s v="Beira"/>
    <s v="Maputo"/>
    <s v="Sim"/>
    <n v="2024"/>
    <s v="Laboral"/>
    <s v="Noite"/>
    <s v="Ativo"/>
  </r>
  <r>
    <n v="46"/>
    <s v="Est 46"/>
    <x v="0"/>
    <n v="32"/>
    <x v="2"/>
    <s v="FACE"/>
    <n v="4"/>
    <s v="T4"/>
    <x v="3"/>
    <s v="Doc12"/>
    <n v="2"/>
    <n v="9.9"/>
    <n v="17.5"/>
    <n v="9.3000000000000007"/>
    <n v="12.233333333333334"/>
    <n v="80"/>
    <n v="6"/>
    <x v="0"/>
    <s v="Beira"/>
    <s v="Sofala"/>
    <s v="Não"/>
    <n v="2023"/>
    <s v="Laboral"/>
    <s v="Manhã"/>
    <s v="Ativo"/>
  </r>
  <r>
    <n v="47"/>
    <s v="Est 47"/>
    <x v="1"/>
    <n v="28"/>
    <x v="1"/>
    <s v="FACE"/>
    <n v="1"/>
    <s v="T1"/>
    <x v="3"/>
    <s v="Doc11"/>
    <n v="1"/>
    <n v="12.5"/>
    <n v="8.4"/>
    <n v="11.8"/>
    <n v="10.9"/>
    <n v="81"/>
    <n v="6"/>
    <x v="0"/>
    <s v="Nampula"/>
    <s v="Sofala"/>
    <s v="Não"/>
    <n v="2023"/>
    <s v="Pós"/>
    <s v="Manhã"/>
    <s v="Ativo"/>
  </r>
  <r>
    <n v="48"/>
    <s v="Est 48"/>
    <x v="0"/>
    <n v="31"/>
    <x v="1"/>
    <s v="FACE"/>
    <n v="4"/>
    <s v="T3"/>
    <x v="7"/>
    <s v="Doc9"/>
    <n v="1"/>
    <n v="10.8"/>
    <n v="12.2"/>
    <n v="12.8"/>
    <n v="11.933333333333332"/>
    <n v="86"/>
    <n v="6"/>
    <x v="0"/>
    <s v="Nampula"/>
    <s v="Maputo"/>
    <s v="Não"/>
    <n v="2022"/>
    <s v="Pós"/>
    <s v="Noite"/>
    <s v="Ativo"/>
  </r>
  <r>
    <n v="49"/>
    <s v="Est 49"/>
    <x v="0"/>
    <n v="31"/>
    <x v="0"/>
    <s v="FACE"/>
    <n v="1"/>
    <s v="T2"/>
    <x v="7"/>
    <s v="Doc1"/>
    <n v="2"/>
    <n v="11"/>
    <n v="12"/>
    <n v="14.2"/>
    <n v="12.4"/>
    <n v="61"/>
    <n v="4"/>
    <x v="0"/>
    <s v="Nampula"/>
    <s v="Nampula"/>
    <s v="Sim"/>
    <n v="2022"/>
    <s v="Laboral"/>
    <s v="Manhã"/>
    <s v="Ativo"/>
  </r>
  <r>
    <n v="50"/>
    <s v="Est 50"/>
    <x v="0"/>
    <n v="25"/>
    <x v="2"/>
    <s v="FACE"/>
    <n v="2"/>
    <s v="T4"/>
    <x v="4"/>
    <s v="Doc15"/>
    <n v="1"/>
    <n v="17.899999999999999"/>
    <n v="16.8"/>
    <n v="10.6"/>
    <n v="15.100000000000001"/>
    <n v="90"/>
    <n v="7"/>
    <x v="0"/>
    <s v="Maputo"/>
    <s v="Maputo"/>
    <s v="Sim"/>
    <n v="2022"/>
    <s v="Pós"/>
    <s v="Manhã"/>
    <s v="Ativo"/>
  </r>
  <r>
    <n v="51"/>
    <s v="Est 51"/>
    <x v="0"/>
    <n v="18"/>
    <x v="1"/>
    <s v="FACE"/>
    <n v="3"/>
    <s v="T1"/>
    <x v="0"/>
    <s v="Doc11"/>
    <n v="2"/>
    <n v="15.2"/>
    <n v="16.2"/>
    <n v="10"/>
    <n v="13.799999999999999"/>
    <n v="80"/>
    <n v="5"/>
    <x v="0"/>
    <s v="Maputo"/>
    <s v="Sofala"/>
    <s v="Não"/>
    <n v="2023"/>
    <s v="Laboral"/>
    <s v="Manhã"/>
    <s v="Ativo"/>
  </r>
  <r>
    <n v="52"/>
    <s v="Est 52"/>
    <x v="0"/>
    <n v="26"/>
    <x v="0"/>
    <s v="FACE"/>
    <n v="1"/>
    <s v="T1"/>
    <x v="0"/>
    <s v="Doc15"/>
    <n v="1"/>
    <n v="16.899999999999999"/>
    <n v="13"/>
    <n v="18.100000000000001"/>
    <n v="16"/>
    <n v="99"/>
    <n v="6"/>
    <x v="0"/>
    <s v="Nampula"/>
    <s v="Sofala"/>
    <s v="Sim"/>
    <n v="2026"/>
    <s v="Laboral"/>
    <s v="Noite"/>
    <s v="Ativo"/>
  </r>
  <r>
    <n v="53"/>
    <s v="Est 53"/>
    <x v="1"/>
    <n v="27"/>
    <x v="0"/>
    <s v="FACE"/>
    <n v="3"/>
    <s v="T1"/>
    <x v="4"/>
    <s v="Doc13"/>
    <n v="2"/>
    <n v="13.6"/>
    <n v="9.6999999999999993"/>
    <n v="17.399999999999999"/>
    <n v="13.566666666666665"/>
    <n v="81"/>
    <n v="4"/>
    <x v="0"/>
    <s v="Maputo"/>
    <s v="Sofala"/>
    <s v="Não"/>
    <n v="2023"/>
    <s v="Pós"/>
    <s v="Manhã"/>
    <s v="Ativo"/>
  </r>
  <r>
    <n v="54"/>
    <s v="Est 54"/>
    <x v="1"/>
    <n v="23"/>
    <x v="2"/>
    <s v="FACE"/>
    <n v="1"/>
    <s v="T3"/>
    <x v="0"/>
    <s v="Doc3"/>
    <n v="1"/>
    <n v="14.9"/>
    <n v="10.3"/>
    <n v="11.3"/>
    <n v="12.166666666666666"/>
    <n v="90"/>
    <n v="5"/>
    <x v="0"/>
    <s v="Beira"/>
    <s v="Maputo"/>
    <s v="Sim"/>
    <n v="2026"/>
    <s v="Pós"/>
    <s v="Noite"/>
    <s v="Ativo"/>
  </r>
  <r>
    <n v="55"/>
    <s v="Est 55"/>
    <x v="0"/>
    <n v="27"/>
    <x v="0"/>
    <s v="FACE"/>
    <n v="4"/>
    <s v="T4"/>
    <x v="2"/>
    <s v="Doc5"/>
    <n v="1"/>
    <n v="8.6"/>
    <n v="16.3"/>
    <n v="16.2"/>
    <n v="13.699999999999998"/>
    <n v="64"/>
    <n v="7"/>
    <x v="0"/>
    <s v="Maputo"/>
    <s v="Maputo"/>
    <s v="Sim"/>
    <n v="2022"/>
    <s v="Laboral"/>
    <s v="Noite"/>
    <s v="Ativo"/>
  </r>
  <r>
    <n v="56"/>
    <s v="Est 56"/>
    <x v="1"/>
    <n v="22"/>
    <x v="0"/>
    <s v="FACE"/>
    <n v="4"/>
    <s v="T4"/>
    <x v="4"/>
    <s v="Doc15"/>
    <n v="1"/>
    <n v="12.9"/>
    <n v="16.399999999999999"/>
    <n v="19.899999999999999"/>
    <n v="16.399999999999999"/>
    <n v="81"/>
    <n v="4"/>
    <x v="0"/>
    <s v="Nampula"/>
    <s v="Nampula"/>
    <s v="Sim"/>
    <n v="2025"/>
    <s v="Laboral"/>
    <s v="Noite"/>
    <s v="Ativo"/>
  </r>
  <r>
    <n v="57"/>
    <s v="Est 57"/>
    <x v="1"/>
    <n v="20"/>
    <x v="0"/>
    <s v="FACE"/>
    <n v="4"/>
    <s v="T3"/>
    <x v="10"/>
    <s v="Doc1"/>
    <n v="1"/>
    <n v="17.2"/>
    <n v="11.4"/>
    <n v="11.2"/>
    <n v="13.266666666666666"/>
    <n v="76"/>
    <n v="8"/>
    <x v="0"/>
    <s v="Beira"/>
    <s v="Sofala"/>
    <s v="Não"/>
    <n v="2023"/>
    <s v="Pós"/>
    <s v="Noite"/>
    <s v="Ativo"/>
  </r>
  <r>
    <n v="58"/>
    <s v="Est 58"/>
    <x v="1"/>
    <n v="33"/>
    <x v="0"/>
    <s v="FACE"/>
    <n v="4"/>
    <s v="T3"/>
    <x v="6"/>
    <s v="Doc14"/>
    <n v="2"/>
    <n v="14.7"/>
    <n v="12.6"/>
    <n v="17.399999999999999"/>
    <n v="14.899999999999999"/>
    <n v="96"/>
    <n v="5"/>
    <x v="0"/>
    <s v="Beira"/>
    <s v="Maputo"/>
    <s v="Não"/>
    <n v="2023"/>
    <s v="Pós"/>
    <s v="Manhã"/>
    <s v="Ativo"/>
  </r>
  <r>
    <n v="59"/>
    <s v="Est 59"/>
    <x v="0"/>
    <n v="30"/>
    <x v="2"/>
    <s v="FACE"/>
    <n v="1"/>
    <s v="T2"/>
    <x v="10"/>
    <s v="Doc14"/>
    <n v="1"/>
    <n v="14.6"/>
    <n v="12.3"/>
    <n v="18"/>
    <n v="14.966666666666667"/>
    <n v="100"/>
    <n v="8"/>
    <x v="0"/>
    <s v="Nampula"/>
    <s v="Maputo"/>
    <s v="Sim"/>
    <n v="2022"/>
    <s v="Laboral"/>
    <s v="Manhã"/>
    <s v="Ativo"/>
  </r>
  <r>
    <n v="60"/>
    <s v="Est 60"/>
    <x v="1"/>
    <n v="32"/>
    <x v="1"/>
    <s v="FACE"/>
    <n v="3"/>
    <s v="T1"/>
    <x v="5"/>
    <s v="Doc1"/>
    <n v="1"/>
    <n v="10.6"/>
    <n v="12.6"/>
    <n v="9.9"/>
    <n v="11.033333333333333"/>
    <n v="66"/>
    <n v="7"/>
    <x v="0"/>
    <s v="Beira"/>
    <s v="Sofala"/>
    <s v="Não"/>
    <n v="2022"/>
    <s v="Laboral"/>
    <s v="Noite"/>
    <s v="Ativo"/>
  </r>
  <r>
    <n v="61"/>
    <s v="Est 61"/>
    <x v="0"/>
    <n v="20"/>
    <x v="2"/>
    <s v="FACE"/>
    <n v="3"/>
    <s v="T4"/>
    <x v="10"/>
    <s v="Doc10"/>
    <n v="1"/>
    <n v="15.2"/>
    <n v="11.2"/>
    <n v="18.8"/>
    <n v="15.066666666666668"/>
    <n v="68"/>
    <n v="8"/>
    <x v="0"/>
    <s v="Maputo"/>
    <s v="Sofala"/>
    <s v="Sim"/>
    <n v="2026"/>
    <s v="Laboral"/>
    <s v="Noite"/>
    <s v="Ativo"/>
  </r>
  <r>
    <n v="62"/>
    <s v="Est 62"/>
    <x v="0"/>
    <n v="32"/>
    <x v="0"/>
    <s v="FACE"/>
    <n v="3"/>
    <s v="T1"/>
    <x v="3"/>
    <s v="Doc5"/>
    <n v="2"/>
    <n v="14"/>
    <n v="8.6999999999999993"/>
    <n v="18.100000000000001"/>
    <n v="13.6"/>
    <n v="75"/>
    <n v="4"/>
    <x v="0"/>
    <s v="Maputo"/>
    <s v="Nampula"/>
    <s v="Não"/>
    <n v="2023"/>
    <s v="Laboral"/>
    <s v="Noite"/>
    <s v="Ativo"/>
  </r>
  <r>
    <n v="63"/>
    <s v="Est 63"/>
    <x v="1"/>
    <n v="28"/>
    <x v="0"/>
    <s v="FACE"/>
    <n v="3"/>
    <s v="T3"/>
    <x v="3"/>
    <s v="Doc13"/>
    <n v="2"/>
    <n v="12.1"/>
    <n v="8.6999999999999993"/>
    <n v="16.7"/>
    <n v="12.5"/>
    <n v="74"/>
    <n v="5"/>
    <x v="0"/>
    <s v="Beira"/>
    <s v="Sofala"/>
    <s v="Não"/>
    <n v="2023"/>
    <s v="Pós"/>
    <s v="Noite"/>
    <s v="Ativo"/>
  </r>
  <r>
    <n v="64"/>
    <s v="Est 64"/>
    <x v="0"/>
    <n v="26"/>
    <x v="1"/>
    <s v="FACE"/>
    <n v="3"/>
    <s v="T2"/>
    <x v="10"/>
    <s v="Doc2"/>
    <n v="2"/>
    <n v="13.1"/>
    <n v="14.3"/>
    <n v="13.6"/>
    <n v="13.666666666666666"/>
    <n v="95"/>
    <n v="8"/>
    <x v="0"/>
    <s v="Nampula"/>
    <s v="Maputo"/>
    <s v="Sim"/>
    <n v="2022"/>
    <s v="Laboral"/>
    <s v="Noite"/>
    <s v="Ativo"/>
  </r>
  <r>
    <n v="65"/>
    <s v="Est 65"/>
    <x v="1"/>
    <n v="25"/>
    <x v="0"/>
    <s v="FACE"/>
    <n v="1"/>
    <s v="T4"/>
    <x v="5"/>
    <s v="Doc6"/>
    <n v="1"/>
    <n v="17"/>
    <n v="8.3000000000000007"/>
    <n v="15.2"/>
    <n v="13.5"/>
    <n v="98"/>
    <n v="6"/>
    <x v="0"/>
    <s v="Maputo"/>
    <s v="Nampula"/>
    <s v="Sim"/>
    <n v="2025"/>
    <s v="Laboral"/>
    <s v="Noite"/>
    <s v="Ativo"/>
  </r>
  <r>
    <n v="66"/>
    <s v="Est 66"/>
    <x v="0"/>
    <n v="23"/>
    <x v="1"/>
    <s v="FACE"/>
    <n v="4"/>
    <s v="T1"/>
    <x v="4"/>
    <s v="Doc11"/>
    <n v="2"/>
    <n v="11.8"/>
    <n v="11"/>
    <n v="13.9"/>
    <n v="12.233333333333334"/>
    <n v="100"/>
    <n v="5"/>
    <x v="0"/>
    <s v="Maputo"/>
    <s v="Maputo"/>
    <s v="Não"/>
    <n v="2024"/>
    <s v="Laboral"/>
    <s v="Noite"/>
    <s v="Ativo"/>
  </r>
  <r>
    <n v="67"/>
    <s v="Est 67"/>
    <x v="0"/>
    <n v="33"/>
    <x v="0"/>
    <s v="FACE"/>
    <n v="1"/>
    <s v="T4"/>
    <x v="7"/>
    <s v="Doc9"/>
    <n v="2"/>
    <n v="12.2"/>
    <n v="12.8"/>
    <n v="12.4"/>
    <n v="12.466666666666667"/>
    <n v="65"/>
    <n v="5"/>
    <x v="0"/>
    <s v="Nampula"/>
    <s v="Nampula"/>
    <s v="Sim"/>
    <n v="2023"/>
    <s v="Laboral"/>
    <s v="Noite"/>
    <s v="Ativo"/>
  </r>
  <r>
    <n v="68"/>
    <s v="Est 68"/>
    <x v="1"/>
    <n v="30"/>
    <x v="0"/>
    <s v="FACE"/>
    <n v="4"/>
    <s v="T3"/>
    <x v="11"/>
    <s v="Doc14"/>
    <n v="2"/>
    <n v="13"/>
    <n v="16.899999999999999"/>
    <n v="13.6"/>
    <n v="14.5"/>
    <n v="76"/>
    <n v="4"/>
    <x v="0"/>
    <s v="Nampula"/>
    <s v="Nampula"/>
    <s v="Não"/>
    <n v="2024"/>
    <s v="Laboral"/>
    <s v="Manhã"/>
    <s v="Ativo"/>
  </r>
  <r>
    <n v="69"/>
    <s v="Est 69"/>
    <x v="0"/>
    <n v="32"/>
    <x v="0"/>
    <s v="FACE"/>
    <n v="2"/>
    <s v="T1"/>
    <x v="4"/>
    <s v="Doc9"/>
    <n v="1"/>
    <n v="15.6"/>
    <n v="15.9"/>
    <n v="11.1"/>
    <n v="14.200000000000001"/>
    <n v="70"/>
    <n v="8"/>
    <x v="0"/>
    <s v="Maputo"/>
    <s v="Sofala"/>
    <s v="Sim"/>
    <n v="2024"/>
    <s v="Pós"/>
    <s v="Manhã"/>
    <s v="Ativo"/>
  </r>
  <r>
    <n v="70"/>
    <s v="Est 70"/>
    <x v="1"/>
    <n v="30"/>
    <x v="0"/>
    <s v="FACE"/>
    <n v="3"/>
    <s v="T1"/>
    <x v="9"/>
    <s v="Doc15"/>
    <n v="2"/>
    <n v="17.100000000000001"/>
    <n v="14.6"/>
    <n v="10.6"/>
    <n v="14.100000000000001"/>
    <n v="65"/>
    <n v="8"/>
    <x v="0"/>
    <s v="Beira"/>
    <s v="Sofala"/>
    <s v="Não"/>
    <n v="2025"/>
    <s v="Pós"/>
    <s v="Manhã"/>
    <s v="Ativo"/>
  </r>
  <r>
    <n v="71"/>
    <s v="Est 71"/>
    <x v="1"/>
    <n v="29"/>
    <x v="2"/>
    <s v="FACE"/>
    <n v="4"/>
    <s v="T3"/>
    <x v="1"/>
    <s v="Doc14"/>
    <n v="1"/>
    <n v="11.4"/>
    <n v="12.8"/>
    <n v="11.6"/>
    <n v="11.933333333333335"/>
    <n v="78"/>
    <n v="8"/>
    <x v="0"/>
    <s v="Beira"/>
    <s v="Maputo"/>
    <s v="Não"/>
    <n v="2023"/>
    <s v="Pós"/>
    <s v="Manhã"/>
    <s v="Ativo"/>
  </r>
  <r>
    <n v="72"/>
    <s v="Est 72"/>
    <x v="1"/>
    <n v="29"/>
    <x v="1"/>
    <s v="FACE"/>
    <n v="2"/>
    <s v="T4"/>
    <x v="1"/>
    <s v="Doc11"/>
    <n v="1"/>
    <n v="14.9"/>
    <n v="9.5"/>
    <n v="8.5"/>
    <n v="10.966666666666667"/>
    <n v="77"/>
    <n v="6"/>
    <x v="0"/>
    <s v="Maputo"/>
    <s v="Nampula"/>
    <s v="Não"/>
    <n v="2023"/>
    <s v="Pós"/>
    <s v="Noite"/>
    <s v="Ativo"/>
  </r>
  <r>
    <n v="73"/>
    <s v="Est 73"/>
    <x v="0"/>
    <n v="18"/>
    <x v="1"/>
    <s v="FACE"/>
    <n v="4"/>
    <s v="T3"/>
    <x v="1"/>
    <s v="Doc12"/>
    <n v="1"/>
    <n v="10.1"/>
    <n v="11.9"/>
    <n v="8.9"/>
    <n v="10.299999999999999"/>
    <n v="75"/>
    <n v="4"/>
    <x v="0"/>
    <s v="Beira"/>
    <s v="Nampula"/>
    <s v="Sim"/>
    <n v="2022"/>
    <s v="Laboral"/>
    <s v="Noite"/>
    <s v="Ativo"/>
  </r>
  <r>
    <n v="74"/>
    <s v="Est 74"/>
    <x v="0"/>
    <n v="23"/>
    <x v="0"/>
    <s v="FACE"/>
    <n v="4"/>
    <s v="T4"/>
    <x v="11"/>
    <s v="Doc14"/>
    <n v="2"/>
    <n v="11.2"/>
    <n v="10.7"/>
    <n v="14.6"/>
    <n v="12.166666666666666"/>
    <n v="89"/>
    <n v="4"/>
    <x v="0"/>
    <s v="Beira"/>
    <s v="Maputo"/>
    <s v="Não"/>
    <n v="2022"/>
    <s v="Pós"/>
    <s v="Manhã"/>
    <s v="Ativo"/>
  </r>
  <r>
    <n v="75"/>
    <s v="Est 75"/>
    <x v="1"/>
    <n v="33"/>
    <x v="0"/>
    <s v="FACE"/>
    <n v="1"/>
    <s v="T3"/>
    <x v="10"/>
    <s v="Doc12"/>
    <n v="2"/>
    <n v="8.1999999999999993"/>
    <n v="15.3"/>
    <n v="13.6"/>
    <n v="12.366666666666667"/>
    <n v="76"/>
    <n v="8"/>
    <x v="0"/>
    <s v="Maputo"/>
    <s v="Nampula"/>
    <s v="Sim"/>
    <n v="2024"/>
    <s v="Laboral"/>
    <s v="Manhã"/>
    <s v="Ativo"/>
  </r>
  <r>
    <n v="76"/>
    <s v="Est 76"/>
    <x v="1"/>
    <n v="31"/>
    <x v="1"/>
    <s v="FACE"/>
    <n v="1"/>
    <s v="T1"/>
    <x v="9"/>
    <s v="Doc14"/>
    <n v="2"/>
    <n v="16.7"/>
    <n v="8.6"/>
    <n v="16.100000000000001"/>
    <n v="13.799999999999999"/>
    <n v="84"/>
    <n v="4"/>
    <x v="0"/>
    <s v="Nampula"/>
    <s v="Maputo"/>
    <s v="Não"/>
    <n v="2023"/>
    <s v="Pós"/>
    <s v="Noite"/>
    <s v="Ativo"/>
  </r>
  <r>
    <n v="77"/>
    <s v="Est 77"/>
    <x v="0"/>
    <n v="18"/>
    <x v="0"/>
    <s v="FACE"/>
    <n v="1"/>
    <s v="T2"/>
    <x v="3"/>
    <s v="Doc7"/>
    <n v="2"/>
    <n v="12.2"/>
    <n v="13.6"/>
    <n v="19.100000000000001"/>
    <n v="14.966666666666667"/>
    <n v="83"/>
    <n v="4"/>
    <x v="0"/>
    <s v="Beira"/>
    <s v="Maputo"/>
    <s v="Sim"/>
    <n v="2024"/>
    <s v="Laboral"/>
    <s v="Noite"/>
    <s v="Ativo"/>
  </r>
  <r>
    <n v="78"/>
    <s v="Est 78"/>
    <x v="1"/>
    <n v="20"/>
    <x v="0"/>
    <s v="FACE"/>
    <n v="2"/>
    <s v="T2"/>
    <x v="3"/>
    <s v="Doc3"/>
    <n v="1"/>
    <n v="15.8"/>
    <n v="8.1999999999999993"/>
    <n v="8.6"/>
    <n v="10.866666666666667"/>
    <n v="80"/>
    <n v="5"/>
    <x v="0"/>
    <s v="Nampula"/>
    <s v="Maputo"/>
    <s v="Sim"/>
    <n v="2024"/>
    <s v="Laboral"/>
    <s v="Noite"/>
    <s v="Ativo"/>
  </r>
  <r>
    <n v="79"/>
    <s v="Est 79"/>
    <x v="0"/>
    <n v="25"/>
    <x v="0"/>
    <s v="FACE"/>
    <n v="4"/>
    <s v="T3"/>
    <x v="9"/>
    <s v="Doc13"/>
    <n v="2"/>
    <n v="16.8"/>
    <n v="13.5"/>
    <n v="12.6"/>
    <n v="14.299999999999999"/>
    <n v="84"/>
    <n v="5"/>
    <x v="0"/>
    <s v="Nampula"/>
    <s v="Nampula"/>
    <s v="Sim"/>
    <n v="2025"/>
    <s v="Laboral"/>
    <s v="Noite"/>
    <s v="Ativo"/>
  </r>
  <r>
    <n v="80"/>
    <s v="Est 80"/>
    <x v="1"/>
    <n v="35"/>
    <x v="0"/>
    <s v="FACE"/>
    <n v="2"/>
    <s v="T1"/>
    <x v="8"/>
    <s v="Doc1"/>
    <n v="2"/>
    <n v="11.5"/>
    <n v="18"/>
    <n v="18"/>
    <n v="15.833333333333334"/>
    <n v="86"/>
    <n v="8"/>
    <x v="0"/>
    <s v="Maputo"/>
    <s v="Nampula"/>
    <s v="Não"/>
    <n v="2026"/>
    <s v="Pós"/>
    <s v="Manhã"/>
    <s v="Ativo"/>
  </r>
  <r>
    <n v="81"/>
    <s v="Est 81"/>
    <x v="0"/>
    <n v="33"/>
    <x v="0"/>
    <s v="FACE"/>
    <n v="4"/>
    <s v="T4"/>
    <x v="6"/>
    <s v="Doc3"/>
    <n v="1"/>
    <n v="15.3"/>
    <n v="17"/>
    <n v="15.5"/>
    <n v="15.933333333333332"/>
    <n v="78"/>
    <n v="8"/>
    <x v="0"/>
    <s v="Maputo"/>
    <s v="Sofala"/>
    <s v="Sim"/>
    <n v="2022"/>
    <s v="Pós"/>
    <s v="Noite"/>
    <s v="Ativo"/>
  </r>
  <r>
    <n v="82"/>
    <s v="Est 82"/>
    <x v="1"/>
    <n v="32"/>
    <x v="2"/>
    <s v="FACE"/>
    <n v="1"/>
    <s v="T2"/>
    <x v="10"/>
    <s v="Doc3"/>
    <n v="2"/>
    <n v="12.4"/>
    <n v="8.8000000000000007"/>
    <n v="14.5"/>
    <n v="11.9"/>
    <n v="95"/>
    <n v="6"/>
    <x v="0"/>
    <s v="Beira"/>
    <s v="Maputo"/>
    <s v="Não"/>
    <n v="2024"/>
    <s v="Laboral"/>
    <s v="Noite"/>
    <s v="Ativo"/>
  </r>
  <r>
    <n v="83"/>
    <s v="Est 83"/>
    <x v="0"/>
    <n v="34"/>
    <x v="0"/>
    <s v="FACE"/>
    <n v="2"/>
    <s v="T4"/>
    <x v="4"/>
    <s v="Doc6"/>
    <n v="1"/>
    <n v="8.1"/>
    <n v="14.6"/>
    <n v="10.1"/>
    <n v="10.933333333333332"/>
    <n v="76"/>
    <n v="8"/>
    <x v="0"/>
    <s v="Beira"/>
    <s v="Nampula"/>
    <s v="Sim"/>
    <n v="2024"/>
    <s v="Pós"/>
    <s v="Noite"/>
    <s v="Ativo"/>
  </r>
  <r>
    <n v="84"/>
    <s v="Est 84"/>
    <x v="1"/>
    <n v="20"/>
    <x v="1"/>
    <s v="FACE"/>
    <n v="3"/>
    <s v="T2"/>
    <x v="0"/>
    <s v="Doc6"/>
    <n v="1"/>
    <n v="10.5"/>
    <n v="17.600000000000001"/>
    <n v="18.2"/>
    <n v="15.433333333333332"/>
    <n v="87"/>
    <n v="6"/>
    <x v="0"/>
    <s v="Nampula"/>
    <s v="Nampula"/>
    <s v="Não"/>
    <n v="2026"/>
    <s v="Laboral"/>
    <s v="Noite"/>
    <s v="Ativo"/>
  </r>
  <r>
    <n v="85"/>
    <s v="Est 85"/>
    <x v="1"/>
    <n v="27"/>
    <x v="2"/>
    <s v="FACE"/>
    <n v="3"/>
    <s v="T2"/>
    <x v="8"/>
    <s v="Doc5"/>
    <n v="2"/>
    <n v="9.5"/>
    <n v="8.4"/>
    <n v="14.7"/>
    <n v="10.866666666666665"/>
    <n v="91"/>
    <n v="6"/>
    <x v="0"/>
    <s v="Nampula"/>
    <s v="Sofala"/>
    <s v="Sim"/>
    <n v="2022"/>
    <s v="Laboral"/>
    <s v="Manhã"/>
    <s v="Ativo"/>
  </r>
  <r>
    <n v="86"/>
    <s v="Est 86"/>
    <x v="0"/>
    <n v="28"/>
    <x v="0"/>
    <s v="FACE"/>
    <n v="1"/>
    <s v="T2"/>
    <x v="11"/>
    <s v="Doc3"/>
    <n v="1"/>
    <n v="15.9"/>
    <n v="15.4"/>
    <n v="16.600000000000001"/>
    <n v="15.966666666666669"/>
    <n v="89"/>
    <n v="5"/>
    <x v="0"/>
    <s v="Nampula"/>
    <s v="Nampula"/>
    <s v="Não"/>
    <n v="2025"/>
    <s v="Laboral"/>
    <s v="Manhã"/>
    <s v="Ativo"/>
  </r>
  <r>
    <n v="87"/>
    <s v="Est 87"/>
    <x v="0"/>
    <n v="18"/>
    <x v="2"/>
    <s v="FACE"/>
    <n v="1"/>
    <s v="T1"/>
    <x v="5"/>
    <s v="Doc6"/>
    <n v="1"/>
    <n v="11.9"/>
    <n v="13.7"/>
    <n v="9.9"/>
    <n v="11.833333333333334"/>
    <n v="74"/>
    <n v="7"/>
    <x v="0"/>
    <s v="Nampula"/>
    <s v="Maputo"/>
    <s v="Não"/>
    <n v="2025"/>
    <s v="Laboral"/>
    <s v="Noite"/>
    <s v="Ativo"/>
  </r>
  <r>
    <n v="88"/>
    <s v="Est 88"/>
    <x v="1"/>
    <n v="24"/>
    <x v="0"/>
    <s v="FACE"/>
    <n v="4"/>
    <s v="T1"/>
    <x v="5"/>
    <s v="Doc6"/>
    <n v="2"/>
    <n v="10.1"/>
    <n v="15.7"/>
    <n v="17.399999999999999"/>
    <n v="14.399999999999999"/>
    <n v="78"/>
    <n v="5"/>
    <x v="0"/>
    <s v="Beira"/>
    <s v="Nampula"/>
    <s v="Sim"/>
    <n v="2022"/>
    <s v="Pós"/>
    <s v="Noite"/>
    <s v="Ativo"/>
  </r>
  <r>
    <n v="89"/>
    <s v="Est 89"/>
    <x v="0"/>
    <n v="33"/>
    <x v="0"/>
    <s v="FACE"/>
    <n v="2"/>
    <s v="T3"/>
    <x v="4"/>
    <s v="Doc12"/>
    <n v="2"/>
    <n v="15.3"/>
    <n v="14"/>
    <n v="12.2"/>
    <n v="13.833333333333334"/>
    <n v="66"/>
    <n v="6"/>
    <x v="0"/>
    <s v="Maputo"/>
    <s v="Sofala"/>
    <s v="Não"/>
    <n v="2024"/>
    <s v="Laboral"/>
    <s v="Noite"/>
    <s v="Ativo"/>
  </r>
  <r>
    <n v="90"/>
    <s v="Est 90"/>
    <x v="0"/>
    <n v="31"/>
    <x v="1"/>
    <s v="FACE"/>
    <n v="2"/>
    <s v="T3"/>
    <x v="10"/>
    <s v="Doc15"/>
    <n v="1"/>
    <n v="11.3"/>
    <n v="14.5"/>
    <n v="14.3"/>
    <n v="13.366666666666667"/>
    <n v="79"/>
    <n v="7"/>
    <x v="0"/>
    <s v="Nampula"/>
    <s v="Maputo"/>
    <s v="Não"/>
    <n v="2023"/>
    <s v="Pós"/>
    <s v="Noite"/>
    <s v="Ativo"/>
  </r>
  <r>
    <n v="91"/>
    <s v="Est 91"/>
    <x v="1"/>
    <n v="19"/>
    <x v="1"/>
    <s v="FACE"/>
    <n v="2"/>
    <s v="T3"/>
    <x v="0"/>
    <s v="Doc11"/>
    <n v="2"/>
    <n v="14"/>
    <n v="14.5"/>
    <n v="19.8"/>
    <n v="16.099999999999998"/>
    <n v="63"/>
    <n v="6"/>
    <x v="0"/>
    <s v="Nampula"/>
    <s v="Nampula"/>
    <s v="Não"/>
    <n v="2026"/>
    <s v="Laboral"/>
    <s v="Manhã"/>
    <s v="Ativo"/>
  </r>
  <r>
    <n v="92"/>
    <s v="Est 92"/>
    <x v="0"/>
    <n v="28"/>
    <x v="2"/>
    <s v="FACE"/>
    <n v="1"/>
    <s v="T1"/>
    <x v="7"/>
    <s v="Doc15"/>
    <n v="1"/>
    <n v="9.4"/>
    <n v="17.100000000000001"/>
    <n v="16.399999999999999"/>
    <n v="14.299999999999999"/>
    <n v="83"/>
    <n v="6"/>
    <x v="0"/>
    <s v="Nampula"/>
    <s v="Maputo"/>
    <s v="Não"/>
    <n v="2024"/>
    <s v="Laboral"/>
    <s v="Noite"/>
    <s v="Ativo"/>
  </r>
  <r>
    <n v="93"/>
    <s v="Est 93"/>
    <x v="0"/>
    <n v="30"/>
    <x v="2"/>
    <s v="FACE"/>
    <n v="2"/>
    <s v="T4"/>
    <x v="6"/>
    <s v="Doc12"/>
    <n v="1"/>
    <n v="13.1"/>
    <n v="9.9"/>
    <n v="14.7"/>
    <n v="12.566666666666668"/>
    <n v="88"/>
    <n v="4"/>
    <x v="0"/>
    <s v="Maputo"/>
    <s v="Maputo"/>
    <s v="Sim"/>
    <n v="2024"/>
    <s v="Pós"/>
    <s v="Noite"/>
    <s v="Ativo"/>
  </r>
  <r>
    <n v="94"/>
    <s v="Est 94"/>
    <x v="1"/>
    <n v="34"/>
    <x v="2"/>
    <s v="FACE"/>
    <n v="2"/>
    <s v="T3"/>
    <x v="0"/>
    <s v="Doc11"/>
    <n v="1"/>
    <n v="14.8"/>
    <n v="9.1999999999999993"/>
    <n v="8.1999999999999993"/>
    <n v="10.733333333333334"/>
    <n v="68"/>
    <n v="7"/>
    <x v="0"/>
    <s v="Beira"/>
    <s v="Maputo"/>
    <s v="Não"/>
    <n v="2022"/>
    <s v="Pós"/>
    <s v="Noite"/>
    <s v="Ativo"/>
  </r>
  <r>
    <n v="95"/>
    <s v="Est 95"/>
    <x v="1"/>
    <n v="18"/>
    <x v="1"/>
    <s v="FACE"/>
    <n v="1"/>
    <s v="T2"/>
    <x v="9"/>
    <s v="Doc3"/>
    <n v="2"/>
    <n v="10.6"/>
    <n v="17.7"/>
    <n v="19.8"/>
    <n v="16.033333333333331"/>
    <n v="64"/>
    <n v="6"/>
    <x v="0"/>
    <s v="Beira"/>
    <s v="Nampula"/>
    <s v="Não"/>
    <n v="2022"/>
    <s v="Laboral"/>
    <s v="Noite"/>
    <s v="Ativo"/>
  </r>
  <r>
    <n v="96"/>
    <s v="Est 96"/>
    <x v="0"/>
    <n v="24"/>
    <x v="2"/>
    <s v="FACE"/>
    <n v="1"/>
    <s v="T2"/>
    <x v="7"/>
    <s v="Doc14"/>
    <n v="2"/>
    <n v="12.4"/>
    <n v="13.2"/>
    <n v="19.3"/>
    <n v="14.966666666666669"/>
    <n v="68"/>
    <n v="8"/>
    <x v="0"/>
    <s v="Beira"/>
    <s v="Nampula"/>
    <s v="Sim"/>
    <n v="2022"/>
    <s v="Laboral"/>
    <s v="Noite"/>
    <s v="Ativo"/>
  </r>
  <r>
    <n v="97"/>
    <s v="Est 97"/>
    <x v="1"/>
    <n v="26"/>
    <x v="2"/>
    <s v="FACE"/>
    <n v="4"/>
    <s v="T3"/>
    <x v="8"/>
    <s v="Doc4"/>
    <n v="2"/>
    <n v="16.600000000000001"/>
    <n v="9.1999999999999993"/>
    <n v="8.4"/>
    <n v="11.4"/>
    <n v="86"/>
    <n v="6"/>
    <x v="0"/>
    <s v="Nampula"/>
    <s v="Sofala"/>
    <s v="Não"/>
    <n v="2023"/>
    <s v="Pós"/>
    <s v="Noite"/>
    <s v="Ativo"/>
  </r>
  <r>
    <n v="98"/>
    <s v="Est 98"/>
    <x v="1"/>
    <n v="25"/>
    <x v="2"/>
    <s v="FACE"/>
    <n v="1"/>
    <s v="T3"/>
    <x v="6"/>
    <s v="Doc11"/>
    <n v="2"/>
    <n v="11.9"/>
    <n v="13.3"/>
    <n v="11.7"/>
    <n v="12.300000000000002"/>
    <n v="83"/>
    <n v="7"/>
    <x v="0"/>
    <s v="Nampula"/>
    <s v="Nampula"/>
    <s v="Sim"/>
    <n v="2023"/>
    <s v="Laboral"/>
    <s v="Manhã"/>
    <s v="Ativo"/>
  </r>
  <r>
    <n v="99"/>
    <s v="Est 99"/>
    <x v="0"/>
    <n v="21"/>
    <x v="1"/>
    <s v="FACE"/>
    <n v="3"/>
    <s v="T3"/>
    <x v="10"/>
    <s v="Doc7"/>
    <n v="1"/>
    <n v="15.2"/>
    <n v="10"/>
    <n v="15.1"/>
    <n v="13.433333333333332"/>
    <n v="64"/>
    <n v="7"/>
    <x v="0"/>
    <s v="Maputo"/>
    <s v="Sofala"/>
    <s v="Não"/>
    <n v="2023"/>
    <s v="Pós"/>
    <s v="Noite"/>
    <s v="Ativo"/>
  </r>
  <r>
    <n v="100"/>
    <s v="Est 100"/>
    <x v="1"/>
    <n v="29"/>
    <x v="2"/>
    <s v="FACE"/>
    <n v="2"/>
    <s v="T2"/>
    <x v="4"/>
    <s v="Doc7"/>
    <n v="1"/>
    <n v="16.5"/>
    <n v="14.3"/>
    <n v="19.899999999999999"/>
    <n v="16.900000000000002"/>
    <n v="99"/>
    <n v="4"/>
    <x v="0"/>
    <s v="Beira"/>
    <s v="Maputo"/>
    <s v="Sim"/>
    <n v="2023"/>
    <s v="Pós"/>
    <s v="Manhã"/>
    <s v="Ativo"/>
  </r>
  <r>
    <n v="101"/>
    <s v="Est 101"/>
    <x v="1"/>
    <n v="18"/>
    <x v="2"/>
    <s v="FACE"/>
    <n v="2"/>
    <s v="T1"/>
    <x v="11"/>
    <s v="Doc8"/>
    <n v="1"/>
    <n v="9.1999999999999993"/>
    <n v="15.6"/>
    <n v="15.6"/>
    <n v="13.466666666666667"/>
    <n v="67"/>
    <n v="4"/>
    <x v="0"/>
    <s v="Beira"/>
    <s v="Nampula"/>
    <s v="Não"/>
    <n v="2022"/>
    <s v="Laboral"/>
    <s v="Manhã"/>
    <s v="Ativo"/>
  </r>
  <r>
    <n v="102"/>
    <s v="Est 102"/>
    <x v="1"/>
    <n v="28"/>
    <x v="2"/>
    <s v="FACE"/>
    <n v="4"/>
    <s v="T3"/>
    <x v="10"/>
    <s v="Doc13"/>
    <n v="1"/>
    <n v="11.6"/>
    <n v="14.2"/>
    <n v="13"/>
    <n v="12.933333333333332"/>
    <n v="76"/>
    <n v="4"/>
    <x v="0"/>
    <s v="Maputo"/>
    <s v="Nampula"/>
    <s v="Sim"/>
    <n v="2023"/>
    <s v="Pós"/>
    <s v="Manhã"/>
    <s v="Ativo"/>
  </r>
  <r>
    <n v="103"/>
    <s v="Est 103"/>
    <x v="0"/>
    <n v="34"/>
    <x v="0"/>
    <s v="FACE"/>
    <n v="1"/>
    <s v="T2"/>
    <x v="8"/>
    <s v="Doc5"/>
    <n v="1"/>
    <n v="15.6"/>
    <n v="11.6"/>
    <n v="19.600000000000001"/>
    <n v="15.6"/>
    <n v="98"/>
    <n v="4"/>
    <x v="0"/>
    <s v="Nampula"/>
    <s v="Sofala"/>
    <s v="Sim"/>
    <n v="2024"/>
    <s v="Laboral"/>
    <s v="Noite"/>
    <s v="Ativo"/>
  </r>
  <r>
    <n v="104"/>
    <s v="Est 104"/>
    <x v="1"/>
    <n v="23"/>
    <x v="0"/>
    <s v="FACE"/>
    <n v="3"/>
    <s v="T3"/>
    <x v="10"/>
    <s v="Doc12"/>
    <n v="1"/>
    <n v="10"/>
    <n v="13.5"/>
    <n v="14.2"/>
    <n v="12.566666666666668"/>
    <n v="66"/>
    <n v="5"/>
    <x v="0"/>
    <s v="Nampula"/>
    <s v="Nampula"/>
    <s v="Sim"/>
    <n v="2025"/>
    <s v="Laboral"/>
    <s v="Manhã"/>
    <s v="Ativo"/>
  </r>
  <r>
    <n v="105"/>
    <s v="Est 105"/>
    <x v="1"/>
    <n v="29"/>
    <x v="2"/>
    <s v="FACE"/>
    <n v="3"/>
    <s v="T4"/>
    <x v="6"/>
    <s v="Doc13"/>
    <n v="2"/>
    <n v="12.1"/>
    <n v="17"/>
    <n v="19.399999999999999"/>
    <n v="16.166666666666668"/>
    <n v="97"/>
    <n v="6"/>
    <x v="0"/>
    <s v="Maputo"/>
    <s v="Maputo"/>
    <s v="Sim"/>
    <n v="2024"/>
    <s v="Laboral"/>
    <s v="Noite"/>
    <s v="Ativo"/>
  </r>
  <r>
    <n v="106"/>
    <s v="Est 106"/>
    <x v="0"/>
    <n v="21"/>
    <x v="2"/>
    <s v="FACE"/>
    <n v="3"/>
    <s v="T4"/>
    <x v="8"/>
    <s v="Doc4"/>
    <n v="2"/>
    <n v="9.5"/>
    <n v="16.899999999999999"/>
    <n v="13.4"/>
    <n v="13.266666666666666"/>
    <n v="85"/>
    <n v="4"/>
    <x v="0"/>
    <s v="Nampula"/>
    <s v="Maputo"/>
    <s v="Sim"/>
    <n v="2023"/>
    <s v="Laboral"/>
    <s v="Manhã"/>
    <s v="Ativo"/>
  </r>
  <r>
    <n v="107"/>
    <s v="Est 107"/>
    <x v="0"/>
    <n v="28"/>
    <x v="1"/>
    <s v="FACE"/>
    <n v="3"/>
    <s v="T3"/>
    <x v="6"/>
    <s v="Doc6"/>
    <n v="2"/>
    <n v="11.1"/>
    <n v="14.7"/>
    <n v="14.5"/>
    <n v="13.433333333333332"/>
    <n v="85"/>
    <n v="6"/>
    <x v="0"/>
    <s v="Maputo"/>
    <s v="Sofala"/>
    <s v="Não"/>
    <n v="2026"/>
    <s v="Pós"/>
    <s v="Manhã"/>
    <s v="Ativo"/>
  </r>
  <r>
    <n v="108"/>
    <s v="Est 108"/>
    <x v="1"/>
    <n v="26"/>
    <x v="0"/>
    <s v="FACE"/>
    <n v="1"/>
    <s v="T2"/>
    <x v="4"/>
    <s v="Doc4"/>
    <n v="1"/>
    <n v="14.7"/>
    <n v="13.3"/>
    <n v="9.8000000000000007"/>
    <n v="12.6"/>
    <n v="89"/>
    <n v="8"/>
    <x v="0"/>
    <s v="Maputo"/>
    <s v="Maputo"/>
    <s v="Não"/>
    <n v="2022"/>
    <s v="Laboral"/>
    <s v="Noite"/>
    <s v="Ativo"/>
  </r>
  <r>
    <n v="109"/>
    <s v="Est 109"/>
    <x v="1"/>
    <n v="28"/>
    <x v="2"/>
    <s v="FACE"/>
    <n v="3"/>
    <s v="T3"/>
    <x v="7"/>
    <s v="Doc3"/>
    <n v="1"/>
    <n v="17.3"/>
    <n v="13.6"/>
    <n v="12"/>
    <n v="14.299999999999999"/>
    <n v="78"/>
    <n v="5"/>
    <x v="0"/>
    <s v="Beira"/>
    <s v="Sofala"/>
    <s v="Sim"/>
    <n v="2024"/>
    <s v="Laboral"/>
    <s v="Manhã"/>
    <s v="Ativo"/>
  </r>
  <r>
    <n v="110"/>
    <s v="Est 110"/>
    <x v="0"/>
    <n v="27"/>
    <x v="0"/>
    <s v="FACE"/>
    <n v="1"/>
    <s v="T1"/>
    <x v="3"/>
    <s v="Doc3"/>
    <n v="2"/>
    <n v="12.3"/>
    <n v="10.6"/>
    <n v="9.1"/>
    <n v="10.666666666666666"/>
    <n v="73"/>
    <n v="4"/>
    <x v="0"/>
    <s v="Beira"/>
    <s v="Maputo"/>
    <s v="Não"/>
    <n v="2023"/>
    <s v="Laboral"/>
    <s v="Noite"/>
    <s v="Ativo"/>
  </r>
  <r>
    <n v="111"/>
    <s v="Est 111"/>
    <x v="0"/>
    <n v="24"/>
    <x v="0"/>
    <s v="FACE"/>
    <n v="4"/>
    <s v="T3"/>
    <x v="8"/>
    <s v="Doc10"/>
    <n v="1"/>
    <n v="17.5"/>
    <n v="16.5"/>
    <n v="12.3"/>
    <n v="15.433333333333332"/>
    <n v="66"/>
    <n v="5"/>
    <x v="0"/>
    <s v="Beira"/>
    <s v="Sofala"/>
    <s v="Sim"/>
    <n v="2025"/>
    <s v="Laboral"/>
    <s v="Noite"/>
    <s v="Ativo"/>
  </r>
  <r>
    <n v="112"/>
    <s v="Est 112"/>
    <x v="1"/>
    <n v="25"/>
    <x v="0"/>
    <s v="FACE"/>
    <n v="4"/>
    <s v="T2"/>
    <x v="4"/>
    <s v="Doc7"/>
    <n v="2"/>
    <n v="8.5"/>
    <n v="12.5"/>
    <n v="11.4"/>
    <n v="10.799999999999999"/>
    <n v="80"/>
    <n v="5"/>
    <x v="0"/>
    <s v="Beira"/>
    <s v="Nampula"/>
    <s v="Sim"/>
    <n v="2023"/>
    <s v="Pós"/>
    <s v="Manhã"/>
    <s v="Ativo"/>
  </r>
  <r>
    <n v="113"/>
    <s v="Est 113"/>
    <x v="0"/>
    <n v="28"/>
    <x v="2"/>
    <s v="FACE"/>
    <n v="1"/>
    <s v="T3"/>
    <x v="6"/>
    <s v="Doc4"/>
    <n v="2"/>
    <n v="8"/>
    <n v="14.2"/>
    <n v="16.600000000000001"/>
    <n v="12.933333333333332"/>
    <n v="79"/>
    <n v="5"/>
    <x v="0"/>
    <s v="Beira"/>
    <s v="Nampula"/>
    <s v="Sim"/>
    <n v="2023"/>
    <s v="Pós"/>
    <s v="Manhã"/>
    <s v="Ativo"/>
  </r>
  <r>
    <n v="114"/>
    <s v="Est 114"/>
    <x v="0"/>
    <n v="22"/>
    <x v="0"/>
    <s v="FACE"/>
    <n v="4"/>
    <s v="T3"/>
    <x v="6"/>
    <s v="Doc12"/>
    <n v="2"/>
    <n v="16.5"/>
    <n v="9"/>
    <n v="11.1"/>
    <n v="12.200000000000001"/>
    <n v="77"/>
    <n v="5"/>
    <x v="0"/>
    <s v="Beira"/>
    <s v="Sofala"/>
    <s v="Sim"/>
    <n v="2024"/>
    <s v="Pós"/>
    <s v="Manhã"/>
    <s v="Ativo"/>
  </r>
  <r>
    <n v="115"/>
    <s v="Est 115"/>
    <x v="0"/>
    <n v="25"/>
    <x v="1"/>
    <s v="FACE"/>
    <n v="2"/>
    <s v="T4"/>
    <x v="3"/>
    <s v="Doc10"/>
    <n v="2"/>
    <n v="12.6"/>
    <n v="16.899999999999999"/>
    <n v="12.4"/>
    <n v="13.966666666666667"/>
    <n v="70"/>
    <n v="5"/>
    <x v="0"/>
    <s v="Nampula"/>
    <s v="Sofala"/>
    <s v="Não"/>
    <n v="2022"/>
    <s v="Laboral"/>
    <s v="Manhã"/>
    <s v="Ativo"/>
  </r>
  <r>
    <n v="116"/>
    <s v="Est 116"/>
    <x v="1"/>
    <n v="34"/>
    <x v="1"/>
    <s v="FACE"/>
    <n v="2"/>
    <s v="T4"/>
    <x v="3"/>
    <s v="Doc14"/>
    <n v="1"/>
    <n v="13.7"/>
    <n v="12.9"/>
    <n v="8.5"/>
    <n v="11.700000000000001"/>
    <n v="65"/>
    <n v="7"/>
    <x v="0"/>
    <s v="Maputo"/>
    <s v="Maputo"/>
    <s v="Sim"/>
    <n v="2026"/>
    <s v="Laboral"/>
    <s v="Manhã"/>
    <s v="Ativo"/>
  </r>
  <r>
    <n v="117"/>
    <s v="Est 117"/>
    <x v="0"/>
    <n v="27"/>
    <x v="2"/>
    <s v="FACE"/>
    <n v="2"/>
    <s v="T3"/>
    <x v="4"/>
    <s v="Doc4"/>
    <n v="2"/>
    <n v="11.9"/>
    <n v="13.8"/>
    <n v="14"/>
    <n v="13.233333333333334"/>
    <n v="77"/>
    <n v="4"/>
    <x v="0"/>
    <s v="Maputo"/>
    <s v="Sofala"/>
    <s v="Sim"/>
    <n v="2024"/>
    <s v="Laboral"/>
    <s v="Noite"/>
    <s v="Ativo"/>
  </r>
  <r>
    <n v="118"/>
    <s v="Est 118"/>
    <x v="0"/>
    <n v="29"/>
    <x v="0"/>
    <s v="FACE"/>
    <n v="2"/>
    <s v="T3"/>
    <x v="1"/>
    <s v="Doc5"/>
    <n v="2"/>
    <n v="8.5"/>
    <n v="11.8"/>
    <n v="8.4"/>
    <n v="9.5666666666666682"/>
    <n v="70"/>
    <n v="5"/>
    <x v="1"/>
    <s v="Nampula"/>
    <s v="Sofala"/>
    <s v="Não"/>
    <n v="2022"/>
    <s v="Laboral"/>
    <s v="Manhã"/>
    <s v="Ativo"/>
  </r>
  <r>
    <n v="119"/>
    <s v="Est 119"/>
    <x v="1"/>
    <n v="26"/>
    <x v="1"/>
    <s v="FACE"/>
    <n v="3"/>
    <s v="T2"/>
    <x v="0"/>
    <s v="Doc5"/>
    <n v="2"/>
    <n v="13.9"/>
    <n v="12.3"/>
    <n v="13.3"/>
    <n v="13.166666666666666"/>
    <n v="98"/>
    <n v="4"/>
    <x v="0"/>
    <s v="Nampula"/>
    <s v="Sofala"/>
    <s v="Sim"/>
    <n v="2023"/>
    <s v="Pós"/>
    <s v="Manhã"/>
    <s v="Ativo"/>
  </r>
  <r>
    <n v="120"/>
    <s v="Est 120"/>
    <x v="1"/>
    <n v="24"/>
    <x v="0"/>
    <s v="FACE"/>
    <n v="4"/>
    <s v="T2"/>
    <x v="10"/>
    <s v="Doc13"/>
    <n v="2"/>
    <n v="17.899999999999999"/>
    <n v="11.9"/>
    <n v="10.3"/>
    <n v="13.366666666666665"/>
    <n v="76"/>
    <n v="8"/>
    <x v="0"/>
    <s v="Nampula"/>
    <s v="Sofala"/>
    <s v="Sim"/>
    <n v="2026"/>
    <s v="Pós"/>
    <s v="Manhã"/>
    <s v="Ativo"/>
  </r>
  <r>
    <n v="121"/>
    <s v="Est 121"/>
    <x v="0"/>
    <n v="34"/>
    <x v="2"/>
    <s v="FACE"/>
    <n v="3"/>
    <s v="T2"/>
    <x v="9"/>
    <s v="Doc4"/>
    <n v="2"/>
    <n v="13.5"/>
    <n v="15.1"/>
    <n v="14.5"/>
    <n v="14.366666666666667"/>
    <n v="66"/>
    <n v="4"/>
    <x v="0"/>
    <s v="Nampula"/>
    <s v="Maputo"/>
    <s v="Sim"/>
    <n v="2025"/>
    <s v="Laboral"/>
    <s v="Manhã"/>
    <s v="Ativo"/>
  </r>
  <r>
    <n v="122"/>
    <s v="Est 122"/>
    <x v="1"/>
    <n v="19"/>
    <x v="1"/>
    <s v="FACE"/>
    <n v="1"/>
    <s v="T1"/>
    <x v="7"/>
    <s v="Doc7"/>
    <n v="2"/>
    <n v="9.8000000000000007"/>
    <n v="9.4"/>
    <n v="19.3"/>
    <n v="12.833333333333334"/>
    <n v="90"/>
    <n v="4"/>
    <x v="0"/>
    <s v="Maputo"/>
    <s v="Maputo"/>
    <s v="Não"/>
    <n v="2023"/>
    <s v="Pós"/>
    <s v="Noite"/>
    <s v="Ativo"/>
  </r>
  <r>
    <n v="123"/>
    <s v="Est 123"/>
    <x v="0"/>
    <n v="21"/>
    <x v="2"/>
    <s v="FACE"/>
    <n v="4"/>
    <s v="T1"/>
    <x v="10"/>
    <s v="Doc12"/>
    <n v="1"/>
    <n v="15.9"/>
    <n v="8.9"/>
    <n v="10.3"/>
    <n v="11.700000000000001"/>
    <n v="74"/>
    <n v="4"/>
    <x v="0"/>
    <s v="Nampula"/>
    <s v="Nampula"/>
    <s v="Sim"/>
    <n v="2025"/>
    <s v="Pós"/>
    <s v="Noite"/>
    <s v="Ativo"/>
  </r>
  <r>
    <n v="124"/>
    <s v="Est 124"/>
    <x v="1"/>
    <n v="23"/>
    <x v="1"/>
    <s v="FACE"/>
    <n v="4"/>
    <s v="T3"/>
    <x v="3"/>
    <s v="Doc10"/>
    <n v="2"/>
    <n v="13.4"/>
    <n v="15"/>
    <n v="16.3"/>
    <n v="14.9"/>
    <n v="62"/>
    <n v="8"/>
    <x v="0"/>
    <s v="Beira"/>
    <s v="Sofala"/>
    <s v="Sim"/>
    <n v="2022"/>
    <s v="Laboral"/>
    <s v="Manhã"/>
    <s v="Ativo"/>
  </r>
  <r>
    <n v="125"/>
    <s v="Est 125"/>
    <x v="0"/>
    <n v="35"/>
    <x v="2"/>
    <s v="FACE"/>
    <n v="2"/>
    <s v="T2"/>
    <x v="2"/>
    <s v="Doc15"/>
    <n v="2"/>
    <n v="9.5"/>
    <n v="8.4"/>
    <n v="16.600000000000001"/>
    <n v="11.5"/>
    <n v="79"/>
    <n v="5"/>
    <x v="0"/>
    <s v="Beira"/>
    <s v="Nampula"/>
    <s v="Não"/>
    <n v="2024"/>
    <s v="Laboral"/>
    <s v="Manhã"/>
    <s v="Ativo"/>
  </r>
  <r>
    <n v="126"/>
    <s v="Est 126"/>
    <x v="0"/>
    <n v="32"/>
    <x v="2"/>
    <s v="FACE"/>
    <n v="2"/>
    <s v="T3"/>
    <x v="2"/>
    <s v="Doc6"/>
    <n v="2"/>
    <n v="16.899999999999999"/>
    <n v="11.9"/>
    <n v="13.3"/>
    <n v="14.033333333333331"/>
    <n v="90"/>
    <n v="5"/>
    <x v="0"/>
    <s v="Beira"/>
    <s v="Sofala"/>
    <s v="Não"/>
    <n v="2025"/>
    <s v="Pós"/>
    <s v="Noite"/>
    <s v="Ativo"/>
  </r>
  <r>
    <n v="127"/>
    <s v="Est 127"/>
    <x v="0"/>
    <n v="18"/>
    <x v="0"/>
    <s v="FACE"/>
    <n v="1"/>
    <s v="T3"/>
    <x v="2"/>
    <s v="Doc7"/>
    <n v="1"/>
    <n v="8.6"/>
    <n v="12.9"/>
    <n v="18.3"/>
    <n v="13.266666666666666"/>
    <n v="90"/>
    <n v="4"/>
    <x v="0"/>
    <s v="Maputo"/>
    <s v="Nampula"/>
    <s v="Sim"/>
    <n v="2022"/>
    <s v="Pós"/>
    <s v="Manhã"/>
    <s v="Ativo"/>
  </r>
  <r>
    <n v="128"/>
    <s v="Est 128"/>
    <x v="0"/>
    <n v="24"/>
    <x v="2"/>
    <s v="FACE"/>
    <n v="4"/>
    <s v="T1"/>
    <x v="7"/>
    <s v="Doc4"/>
    <n v="1"/>
    <n v="10.4"/>
    <n v="8.4"/>
    <n v="10.6"/>
    <n v="9.7999999999999989"/>
    <n v="88"/>
    <n v="4"/>
    <x v="1"/>
    <s v="Beira"/>
    <s v="Nampula"/>
    <s v="Não"/>
    <n v="2023"/>
    <s v="Pós"/>
    <s v="Noite"/>
    <s v="Ativo"/>
  </r>
  <r>
    <n v="129"/>
    <s v="Est 129"/>
    <x v="1"/>
    <n v="22"/>
    <x v="2"/>
    <s v="FACE"/>
    <n v="4"/>
    <s v="T1"/>
    <x v="6"/>
    <s v="Doc6"/>
    <n v="2"/>
    <n v="17.100000000000001"/>
    <n v="17.2"/>
    <n v="17.3"/>
    <n v="17.2"/>
    <n v="60"/>
    <n v="7"/>
    <x v="0"/>
    <s v="Maputo"/>
    <s v="Nampula"/>
    <s v="Sim"/>
    <n v="2025"/>
    <s v="Laboral"/>
    <s v="Noite"/>
    <s v="Ativo"/>
  </r>
  <r>
    <n v="130"/>
    <s v="Est 130"/>
    <x v="1"/>
    <n v="25"/>
    <x v="0"/>
    <s v="FACE"/>
    <n v="4"/>
    <s v="T1"/>
    <x v="4"/>
    <s v="Doc6"/>
    <n v="2"/>
    <n v="9.6999999999999993"/>
    <n v="16.399999999999999"/>
    <n v="14.8"/>
    <n v="13.633333333333333"/>
    <n v="63"/>
    <n v="6"/>
    <x v="0"/>
    <s v="Maputo"/>
    <s v="Sofala"/>
    <s v="Não"/>
    <n v="2026"/>
    <s v="Pós"/>
    <s v="Manhã"/>
    <s v="Ativo"/>
  </r>
  <r>
    <n v="131"/>
    <s v="Est 131"/>
    <x v="1"/>
    <n v="19"/>
    <x v="0"/>
    <s v="FACE"/>
    <n v="4"/>
    <s v="T2"/>
    <x v="7"/>
    <s v="Doc2"/>
    <n v="2"/>
    <n v="13.8"/>
    <n v="11.5"/>
    <n v="12.8"/>
    <n v="12.700000000000001"/>
    <n v="66"/>
    <n v="4"/>
    <x v="0"/>
    <s v="Maputo"/>
    <s v="Maputo"/>
    <s v="Sim"/>
    <n v="2022"/>
    <s v="Laboral"/>
    <s v="Manhã"/>
    <s v="Ativo"/>
  </r>
  <r>
    <n v="132"/>
    <s v="Est 132"/>
    <x v="0"/>
    <n v="29"/>
    <x v="1"/>
    <s v="FACE"/>
    <n v="4"/>
    <s v="T3"/>
    <x v="0"/>
    <s v="Doc9"/>
    <n v="1"/>
    <n v="15.3"/>
    <n v="17.100000000000001"/>
    <n v="12.9"/>
    <n v="15.100000000000001"/>
    <n v="97"/>
    <n v="8"/>
    <x v="0"/>
    <s v="Maputo"/>
    <s v="Sofala"/>
    <s v="Não"/>
    <n v="2024"/>
    <s v="Laboral"/>
    <s v="Noite"/>
    <s v="Ativo"/>
  </r>
  <r>
    <n v="133"/>
    <s v="Est 133"/>
    <x v="1"/>
    <n v="24"/>
    <x v="1"/>
    <s v="FACE"/>
    <n v="4"/>
    <s v="T2"/>
    <x v="1"/>
    <s v="Doc4"/>
    <n v="2"/>
    <n v="11.3"/>
    <n v="11.1"/>
    <n v="15.5"/>
    <n v="12.633333333333333"/>
    <n v="90"/>
    <n v="4"/>
    <x v="0"/>
    <s v="Nampula"/>
    <s v="Nampula"/>
    <s v="Sim"/>
    <n v="2023"/>
    <s v="Laboral"/>
    <s v="Manhã"/>
    <s v="Ativo"/>
  </r>
  <r>
    <n v="134"/>
    <s v="Est 134"/>
    <x v="1"/>
    <n v="20"/>
    <x v="0"/>
    <s v="FACE"/>
    <n v="1"/>
    <s v="T1"/>
    <x v="6"/>
    <s v="Doc14"/>
    <n v="2"/>
    <n v="15.6"/>
    <n v="11.2"/>
    <n v="17.3"/>
    <n v="14.699999999999998"/>
    <n v="87"/>
    <n v="4"/>
    <x v="0"/>
    <s v="Beira"/>
    <s v="Nampula"/>
    <s v="Sim"/>
    <n v="2022"/>
    <s v="Laboral"/>
    <s v="Manhã"/>
    <s v="Ativo"/>
  </r>
  <r>
    <n v="135"/>
    <s v="Est 135"/>
    <x v="0"/>
    <n v="20"/>
    <x v="0"/>
    <s v="FACE"/>
    <n v="4"/>
    <s v="T4"/>
    <x v="4"/>
    <s v="Doc10"/>
    <n v="1"/>
    <n v="8.4"/>
    <n v="13.7"/>
    <n v="8.6999999999999993"/>
    <n v="10.266666666666667"/>
    <n v="80"/>
    <n v="6"/>
    <x v="0"/>
    <s v="Beira"/>
    <s v="Nampula"/>
    <s v="Sim"/>
    <n v="2025"/>
    <s v="Laboral"/>
    <s v="Noite"/>
    <s v="Ativo"/>
  </r>
  <r>
    <n v="136"/>
    <s v="Est 136"/>
    <x v="1"/>
    <n v="25"/>
    <x v="1"/>
    <s v="FACE"/>
    <n v="4"/>
    <s v="T1"/>
    <x v="8"/>
    <s v="Doc11"/>
    <n v="1"/>
    <n v="10.3"/>
    <n v="16.8"/>
    <n v="18.3"/>
    <n v="15.133333333333335"/>
    <n v="100"/>
    <n v="6"/>
    <x v="0"/>
    <s v="Maputo"/>
    <s v="Sofala"/>
    <s v="Sim"/>
    <n v="2022"/>
    <s v="Pós"/>
    <s v="Manhã"/>
    <s v="Ativo"/>
  </r>
  <r>
    <n v="137"/>
    <s v="Est 137"/>
    <x v="0"/>
    <n v="18"/>
    <x v="0"/>
    <s v="FACE"/>
    <n v="2"/>
    <s v="T1"/>
    <x v="5"/>
    <s v="Doc15"/>
    <n v="2"/>
    <n v="8.8000000000000007"/>
    <n v="17.100000000000001"/>
    <n v="18.5"/>
    <n v="14.800000000000002"/>
    <n v="90"/>
    <n v="7"/>
    <x v="0"/>
    <s v="Nampula"/>
    <s v="Sofala"/>
    <s v="Sim"/>
    <n v="2024"/>
    <s v="Laboral"/>
    <s v="Noite"/>
    <s v="Ativo"/>
  </r>
  <r>
    <n v="138"/>
    <s v="Est 138"/>
    <x v="1"/>
    <n v="27"/>
    <x v="1"/>
    <s v="FACE"/>
    <n v="2"/>
    <s v="T4"/>
    <x v="7"/>
    <s v="Doc1"/>
    <n v="2"/>
    <n v="12.5"/>
    <n v="9.1999999999999993"/>
    <n v="19.3"/>
    <n v="13.666666666666666"/>
    <n v="81"/>
    <n v="7"/>
    <x v="0"/>
    <s v="Maputo"/>
    <s v="Maputo"/>
    <s v="Não"/>
    <n v="2026"/>
    <s v="Pós"/>
    <s v="Manhã"/>
    <s v="Ativo"/>
  </r>
  <r>
    <n v="139"/>
    <s v="Est 139"/>
    <x v="1"/>
    <n v="18"/>
    <x v="2"/>
    <s v="FACE"/>
    <n v="2"/>
    <s v="T3"/>
    <x v="4"/>
    <s v="Doc3"/>
    <n v="2"/>
    <n v="10.6"/>
    <n v="16.399999999999999"/>
    <n v="12.3"/>
    <n v="13.1"/>
    <n v="84"/>
    <n v="8"/>
    <x v="0"/>
    <s v="Beira"/>
    <s v="Sofala"/>
    <s v="Não"/>
    <n v="2024"/>
    <s v="Laboral"/>
    <s v="Noite"/>
    <s v="Ativo"/>
  </r>
  <r>
    <n v="140"/>
    <s v="Est 140"/>
    <x v="1"/>
    <n v="32"/>
    <x v="2"/>
    <s v="FACE"/>
    <n v="2"/>
    <s v="T4"/>
    <x v="8"/>
    <s v="Doc9"/>
    <n v="2"/>
    <n v="14.2"/>
    <n v="12"/>
    <n v="11"/>
    <n v="12.4"/>
    <n v="79"/>
    <n v="7"/>
    <x v="0"/>
    <s v="Maputo"/>
    <s v="Maputo"/>
    <s v="Não"/>
    <n v="2023"/>
    <s v="Pós"/>
    <s v="Manhã"/>
    <s v="Ativo"/>
  </r>
  <r>
    <n v="141"/>
    <s v="Est 141"/>
    <x v="1"/>
    <n v="35"/>
    <x v="0"/>
    <s v="FACE"/>
    <n v="4"/>
    <s v="T4"/>
    <x v="5"/>
    <s v="Doc6"/>
    <n v="2"/>
    <n v="9.1"/>
    <n v="13.3"/>
    <n v="12.9"/>
    <n v="11.766666666666666"/>
    <n v="90"/>
    <n v="4"/>
    <x v="0"/>
    <s v="Maputo"/>
    <s v="Nampula"/>
    <s v="Sim"/>
    <n v="2023"/>
    <s v="Pós"/>
    <s v="Noite"/>
    <s v="Ativo"/>
  </r>
  <r>
    <n v="142"/>
    <s v="Est 142"/>
    <x v="1"/>
    <n v="18"/>
    <x v="2"/>
    <s v="FACE"/>
    <n v="2"/>
    <s v="T4"/>
    <x v="11"/>
    <s v="Doc6"/>
    <n v="1"/>
    <n v="17.5"/>
    <n v="8.8000000000000007"/>
    <n v="13.3"/>
    <n v="13.200000000000001"/>
    <n v="68"/>
    <n v="8"/>
    <x v="0"/>
    <s v="Nampula"/>
    <s v="Nampula"/>
    <s v="Não"/>
    <n v="2024"/>
    <s v="Pós"/>
    <s v="Manhã"/>
    <s v="Ativo"/>
  </r>
  <r>
    <n v="143"/>
    <s v="Est 143"/>
    <x v="0"/>
    <n v="24"/>
    <x v="1"/>
    <s v="FACE"/>
    <n v="4"/>
    <s v="T3"/>
    <x v="6"/>
    <s v="Doc5"/>
    <n v="2"/>
    <n v="17.399999999999999"/>
    <n v="16.3"/>
    <n v="11.4"/>
    <n v="15.033333333333333"/>
    <n v="65"/>
    <n v="5"/>
    <x v="0"/>
    <s v="Nampula"/>
    <s v="Maputo"/>
    <s v="Sim"/>
    <n v="2024"/>
    <s v="Pós"/>
    <s v="Manhã"/>
    <s v="Ativo"/>
  </r>
  <r>
    <n v="144"/>
    <s v="Est 144"/>
    <x v="0"/>
    <n v="22"/>
    <x v="0"/>
    <s v="FACE"/>
    <n v="2"/>
    <s v="T2"/>
    <x v="9"/>
    <s v="Doc13"/>
    <n v="2"/>
    <n v="17.100000000000001"/>
    <n v="11.1"/>
    <n v="16.100000000000001"/>
    <n v="14.766666666666667"/>
    <n v="82"/>
    <n v="7"/>
    <x v="0"/>
    <s v="Maputo"/>
    <s v="Sofala"/>
    <s v="Não"/>
    <n v="2024"/>
    <s v="Pós"/>
    <s v="Manhã"/>
    <s v="Ativo"/>
  </r>
  <r>
    <n v="145"/>
    <s v="Est 145"/>
    <x v="0"/>
    <n v="21"/>
    <x v="2"/>
    <s v="FACE"/>
    <n v="2"/>
    <s v="T2"/>
    <x v="2"/>
    <s v="Doc11"/>
    <n v="2"/>
    <n v="9.9"/>
    <n v="9.9"/>
    <n v="19.3"/>
    <n v="13.033333333333333"/>
    <n v="68"/>
    <n v="4"/>
    <x v="0"/>
    <s v="Maputo"/>
    <s v="Sofala"/>
    <s v="Não"/>
    <n v="2023"/>
    <s v="Laboral"/>
    <s v="Noite"/>
    <s v="Ativo"/>
  </r>
  <r>
    <n v="146"/>
    <s v="Est 146"/>
    <x v="1"/>
    <n v="26"/>
    <x v="1"/>
    <s v="FACE"/>
    <n v="1"/>
    <s v="T2"/>
    <x v="3"/>
    <s v="Doc9"/>
    <n v="1"/>
    <n v="14.2"/>
    <n v="14.8"/>
    <n v="14.8"/>
    <n v="14.6"/>
    <n v="77"/>
    <n v="6"/>
    <x v="0"/>
    <s v="Beira"/>
    <s v="Maputo"/>
    <s v="Sim"/>
    <n v="2022"/>
    <s v="Laboral"/>
    <s v="Manhã"/>
    <s v="Ativo"/>
  </r>
  <r>
    <n v="147"/>
    <s v="Est 147"/>
    <x v="1"/>
    <n v="27"/>
    <x v="2"/>
    <s v="FACE"/>
    <n v="1"/>
    <s v="T4"/>
    <x v="9"/>
    <s v="Doc6"/>
    <n v="1"/>
    <n v="16.7"/>
    <n v="10.4"/>
    <n v="16.600000000000001"/>
    <n v="14.566666666666668"/>
    <n v="75"/>
    <n v="4"/>
    <x v="0"/>
    <s v="Beira"/>
    <s v="Sofala"/>
    <s v="Sim"/>
    <n v="2024"/>
    <s v="Pós"/>
    <s v="Noite"/>
    <s v="Ativo"/>
  </r>
  <r>
    <n v="148"/>
    <s v="Est 148"/>
    <x v="0"/>
    <n v="24"/>
    <x v="2"/>
    <s v="FACE"/>
    <n v="3"/>
    <s v="T1"/>
    <x v="6"/>
    <s v="Doc4"/>
    <n v="2"/>
    <n v="10.3"/>
    <n v="14.3"/>
    <n v="13.5"/>
    <n v="12.700000000000001"/>
    <n v="98"/>
    <n v="5"/>
    <x v="0"/>
    <s v="Beira"/>
    <s v="Maputo"/>
    <s v="Sim"/>
    <n v="2026"/>
    <s v="Pós"/>
    <s v="Noite"/>
    <s v="Ativo"/>
  </r>
  <r>
    <n v="149"/>
    <s v="Est 149"/>
    <x v="1"/>
    <n v="33"/>
    <x v="2"/>
    <s v="FACE"/>
    <n v="4"/>
    <s v="T4"/>
    <x v="4"/>
    <s v="Doc15"/>
    <n v="2"/>
    <n v="9.8000000000000007"/>
    <n v="10.4"/>
    <n v="19.100000000000001"/>
    <n v="13.100000000000001"/>
    <n v="76"/>
    <n v="5"/>
    <x v="0"/>
    <s v="Nampula"/>
    <s v="Nampula"/>
    <s v="Sim"/>
    <n v="2022"/>
    <s v="Pós"/>
    <s v="Noite"/>
    <s v="Ativo"/>
  </r>
  <r>
    <n v="150"/>
    <s v="Est 150"/>
    <x v="1"/>
    <n v="18"/>
    <x v="2"/>
    <s v="FACE"/>
    <n v="3"/>
    <s v="T2"/>
    <x v="3"/>
    <s v="Doc5"/>
    <n v="2"/>
    <n v="12"/>
    <n v="8.5"/>
    <n v="12.4"/>
    <n v="10.966666666666667"/>
    <n v="90"/>
    <n v="8"/>
    <x v="0"/>
    <s v="Beira"/>
    <s v="Maputo"/>
    <s v="Não"/>
    <n v="2026"/>
    <s v="Pós"/>
    <s v="Manhã"/>
    <s v="Ativ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0">
  <r>
    <n v="1"/>
    <s v="Est 1"/>
    <x v="0"/>
    <n v="29"/>
    <x v="0"/>
    <s v="FACE"/>
    <x v="0"/>
    <s v="T2"/>
    <x v="0"/>
    <x v="0"/>
    <n v="2"/>
    <n v="12.5"/>
    <n v="15.8"/>
    <n v="16.600000000000001"/>
    <n v="14.966666666666669"/>
    <n v="77"/>
    <n v="8"/>
    <s v="Aprovado"/>
    <s v="Maputo"/>
    <s v="Sofala"/>
    <s v="Não"/>
    <n v="2022"/>
    <s v="Laboral"/>
    <s v="Noite"/>
    <s v="Ativo"/>
  </r>
  <r>
    <n v="2"/>
    <s v="Est 2"/>
    <x v="1"/>
    <n v="27"/>
    <x v="1"/>
    <s v="FACE"/>
    <x v="1"/>
    <s v="T1"/>
    <x v="0"/>
    <x v="1"/>
    <n v="2"/>
    <n v="15"/>
    <n v="16.8"/>
    <n v="20"/>
    <n v="17.266666666666666"/>
    <n v="62"/>
    <n v="4"/>
    <s v="Aprovado"/>
    <s v="Nampula"/>
    <s v="Nampula"/>
    <s v="Não"/>
    <n v="2025"/>
    <s v="Pós"/>
    <s v="Noite"/>
    <s v="Ativo"/>
  </r>
  <r>
    <n v="3"/>
    <s v="Est 3"/>
    <x v="0"/>
    <n v="31"/>
    <x v="2"/>
    <s v="FACE"/>
    <x v="2"/>
    <s v="T1"/>
    <x v="1"/>
    <x v="2"/>
    <n v="1"/>
    <n v="11.8"/>
    <n v="13.8"/>
    <n v="13.2"/>
    <n v="12.933333333333332"/>
    <n v="70"/>
    <n v="7"/>
    <s v="Aprovado"/>
    <s v="Maputo"/>
    <s v="Maputo"/>
    <s v="Não"/>
    <n v="2023"/>
    <s v="Pós"/>
    <s v="Noite"/>
    <s v="Ativo"/>
  </r>
  <r>
    <n v="4"/>
    <s v="Est 4"/>
    <x v="1"/>
    <n v="31"/>
    <x v="1"/>
    <s v="FACE"/>
    <x v="3"/>
    <s v="T4"/>
    <x v="0"/>
    <x v="3"/>
    <n v="2"/>
    <n v="16.3"/>
    <n v="14.4"/>
    <n v="17.100000000000001"/>
    <n v="15.933333333333335"/>
    <n v="99"/>
    <n v="5"/>
    <s v="Aprovado"/>
    <s v="Maputo"/>
    <s v="Sofala"/>
    <s v="Não"/>
    <n v="2025"/>
    <s v="Laboral"/>
    <s v="Manhã"/>
    <s v="Ativo"/>
  </r>
  <r>
    <n v="5"/>
    <s v="Est 5"/>
    <x v="0"/>
    <n v="19"/>
    <x v="0"/>
    <s v="FACE"/>
    <x v="3"/>
    <s v="T4"/>
    <x v="2"/>
    <x v="4"/>
    <n v="2"/>
    <n v="12.3"/>
    <n v="13.4"/>
    <n v="18.2"/>
    <n v="14.633333333333335"/>
    <n v="98"/>
    <n v="7"/>
    <s v="Aprovado"/>
    <s v="Beira"/>
    <s v="Sofala"/>
    <s v="Sim"/>
    <n v="2025"/>
    <s v="Laboral"/>
    <s v="Manhã"/>
    <s v="Ativo"/>
  </r>
  <r>
    <n v="6"/>
    <s v="Est 6"/>
    <x v="0"/>
    <n v="34"/>
    <x v="1"/>
    <s v="FACE"/>
    <x v="0"/>
    <s v="T2"/>
    <x v="3"/>
    <x v="5"/>
    <n v="1"/>
    <n v="12.5"/>
    <n v="9.9"/>
    <n v="14.4"/>
    <n v="12.266666666666666"/>
    <n v="69"/>
    <n v="5"/>
    <s v="Aprovado"/>
    <s v="Beira"/>
    <s v="Sofala"/>
    <s v="Sim"/>
    <n v="2026"/>
    <s v="Pós"/>
    <s v="Noite"/>
    <s v="Ativo"/>
  </r>
  <r>
    <n v="7"/>
    <s v="Est 7"/>
    <x v="1"/>
    <n v="27"/>
    <x v="1"/>
    <s v="FACE"/>
    <x v="1"/>
    <s v="T4"/>
    <x v="4"/>
    <x v="4"/>
    <n v="2"/>
    <n v="15.5"/>
    <n v="10.3"/>
    <n v="10.1"/>
    <n v="11.966666666666667"/>
    <n v="68"/>
    <n v="4"/>
    <s v="Aprovado"/>
    <s v="Nampula"/>
    <s v="Nampula"/>
    <s v="Sim"/>
    <n v="2025"/>
    <s v="Laboral"/>
    <s v="Noite"/>
    <s v="Ativo"/>
  </r>
  <r>
    <n v="8"/>
    <s v="Est 8"/>
    <x v="0"/>
    <n v="29"/>
    <x v="1"/>
    <s v="FACE"/>
    <x v="2"/>
    <s v="T1"/>
    <x v="5"/>
    <x v="6"/>
    <n v="2"/>
    <n v="11.4"/>
    <n v="15.1"/>
    <n v="16.399999999999999"/>
    <n v="14.299999999999999"/>
    <n v="88"/>
    <n v="8"/>
    <s v="Aprovado"/>
    <s v="Maputo"/>
    <s v="Maputo"/>
    <s v="Não"/>
    <n v="2025"/>
    <s v="Laboral"/>
    <s v="Manhã"/>
    <s v="Ativo"/>
  </r>
  <r>
    <n v="9"/>
    <s v="Est 9"/>
    <x v="1"/>
    <n v="23"/>
    <x v="0"/>
    <s v="FACE"/>
    <x v="3"/>
    <s v="T4"/>
    <x v="4"/>
    <x v="7"/>
    <n v="2"/>
    <n v="9.9"/>
    <n v="17.899999999999999"/>
    <n v="18.399999999999999"/>
    <n v="15.399999999999999"/>
    <n v="89"/>
    <n v="7"/>
    <s v="Aprovado"/>
    <s v="Nampula"/>
    <s v="Nampula"/>
    <s v="Sim"/>
    <n v="2024"/>
    <s v="Pós"/>
    <s v="Manhã"/>
    <s v="Ativo"/>
  </r>
  <r>
    <n v="10"/>
    <s v="Est 10"/>
    <x v="1"/>
    <n v="20"/>
    <x v="0"/>
    <s v="FACE"/>
    <x v="2"/>
    <s v="T4"/>
    <x v="6"/>
    <x v="2"/>
    <n v="1"/>
    <n v="14.1"/>
    <n v="13.8"/>
    <n v="12.6"/>
    <n v="13.5"/>
    <n v="61"/>
    <n v="8"/>
    <s v="Aprovado"/>
    <s v="Nampula"/>
    <s v="Sofala"/>
    <s v="Sim"/>
    <n v="2024"/>
    <s v="Laboral"/>
    <s v="Noite"/>
    <s v="Ativo"/>
  </r>
  <r>
    <n v="11"/>
    <s v="Est 11"/>
    <x v="1"/>
    <n v="26"/>
    <x v="0"/>
    <s v="FACE"/>
    <x v="1"/>
    <s v="T1"/>
    <x v="7"/>
    <x v="8"/>
    <n v="2"/>
    <n v="14.8"/>
    <n v="14.4"/>
    <n v="16.8"/>
    <n v="15.333333333333334"/>
    <n v="78"/>
    <n v="8"/>
    <s v="Aprovado"/>
    <s v="Beira"/>
    <s v="Maputo"/>
    <s v="Sim"/>
    <n v="2024"/>
    <s v="Laboral"/>
    <s v="Noite"/>
    <s v="Ativo"/>
  </r>
  <r>
    <n v="12"/>
    <s v="Est 12"/>
    <x v="0"/>
    <n v="25"/>
    <x v="2"/>
    <s v="FACE"/>
    <x v="1"/>
    <s v="T4"/>
    <x v="8"/>
    <x v="3"/>
    <n v="2"/>
    <n v="9.8000000000000007"/>
    <n v="15.2"/>
    <n v="18.899999999999999"/>
    <n v="14.633333333333333"/>
    <n v="89"/>
    <n v="4"/>
    <s v="Aprovado"/>
    <s v="Beira"/>
    <s v="Sofala"/>
    <s v="Não"/>
    <n v="2024"/>
    <s v="Laboral"/>
    <s v="Manhã"/>
    <s v="Ativo"/>
  </r>
  <r>
    <n v="13"/>
    <s v="Est 13"/>
    <x v="0"/>
    <n v="27"/>
    <x v="2"/>
    <s v="FACE"/>
    <x v="2"/>
    <s v="T1"/>
    <x v="8"/>
    <x v="3"/>
    <n v="2"/>
    <n v="8.5"/>
    <n v="12.6"/>
    <n v="14.5"/>
    <n v="11.866666666666667"/>
    <n v="66"/>
    <n v="8"/>
    <s v="Aprovado"/>
    <s v="Beira"/>
    <s v="Nampula"/>
    <s v="Sim"/>
    <n v="2026"/>
    <s v="Pós"/>
    <s v="Manhã"/>
    <s v="Ativo"/>
  </r>
  <r>
    <n v="14"/>
    <s v="Est 14"/>
    <x v="0"/>
    <n v="22"/>
    <x v="0"/>
    <s v="FACE"/>
    <x v="3"/>
    <s v="T3"/>
    <x v="0"/>
    <x v="7"/>
    <n v="1"/>
    <n v="9.5"/>
    <n v="10.9"/>
    <n v="12.9"/>
    <n v="11.1"/>
    <n v="85"/>
    <n v="4"/>
    <s v="Aprovado"/>
    <s v="Beira"/>
    <s v="Maputo"/>
    <s v="Sim"/>
    <n v="2023"/>
    <s v="Pós"/>
    <s v="Noite"/>
    <s v="Ativo"/>
  </r>
  <r>
    <n v="15"/>
    <s v="Est 15"/>
    <x v="1"/>
    <n v="20"/>
    <x v="2"/>
    <s v="FACE"/>
    <x v="2"/>
    <s v="T3"/>
    <x v="7"/>
    <x v="6"/>
    <n v="2"/>
    <n v="8.8000000000000007"/>
    <n v="17"/>
    <n v="11.2"/>
    <n v="12.333333333333334"/>
    <n v="77"/>
    <n v="7"/>
    <s v="Aprovado"/>
    <s v="Nampula"/>
    <s v="Maputo"/>
    <s v="Sim"/>
    <n v="2026"/>
    <s v="Pós"/>
    <s v="Manhã"/>
    <s v="Ativo"/>
  </r>
  <r>
    <n v="16"/>
    <s v="Est 16"/>
    <x v="0"/>
    <n v="32"/>
    <x v="1"/>
    <s v="FACE"/>
    <x v="0"/>
    <s v="T3"/>
    <x v="4"/>
    <x v="4"/>
    <n v="2"/>
    <n v="17.5"/>
    <n v="15.8"/>
    <n v="8.5"/>
    <n v="13.933333333333332"/>
    <n v="75"/>
    <n v="8"/>
    <s v="Aprovado"/>
    <s v="Nampula"/>
    <s v="Sofala"/>
    <s v="Não"/>
    <n v="2025"/>
    <s v="Laboral"/>
    <s v="Noite"/>
    <s v="Ativo"/>
  </r>
  <r>
    <n v="17"/>
    <s v="Est 17"/>
    <x v="1"/>
    <n v="34"/>
    <x v="1"/>
    <s v="FACE"/>
    <x v="2"/>
    <s v="T3"/>
    <x v="6"/>
    <x v="9"/>
    <n v="1"/>
    <n v="15"/>
    <n v="15"/>
    <n v="19.399999999999999"/>
    <n v="16.466666666666665"/>
    <n v="96"/>
    <n v="4"/>
    <s v="Aprovado"/>
    <s v="Beira"/>
    <s v="Sofala"/>
    <s v="Sim"/>
    <n v="2023"/>
    <s v="Laboral"/>
    <s v="Manhã"/>
    <s v="Ativo"/>
  </r>
  <r>
    <n v="18"/>
    <s v="Est 18"/>
    <x v="0"/>
    <n v="29"/>
    <x v="2"/>
    <s v="FACE"/>
    <x v="3"/>
    <s v="T2"/>
    <x v="5"/>
    <x v="4"/>
    <n v="2"/>
    <n v="11.7"/>
    <n v="11.2"/>
    <n v="9.1"/>
    <n v="10.666666666666666"/>
    <n v="89"/>
    <n v="4"/>
    <s v="Aprovado"/>
    <s v="Nampula"/>
    <s v="Nampula"/>
    <s v="Sim"/>
    <n v="2022"/>
    <s v="Laboral"/>
    <s v="Manhã"/>
    <s v="Ativo"/>
  </r>
  <r>
    <n v="19"/>
    <s v="Est 19"/>
    <x v="1"/>
    <n v="28"/>
    <x v="0"/>
    <s v="FACE"/>
    <x v="1"/>
    <s v="T4"/>
    <x v="5"/>
    <x v="10"/>
    <n v="1"/>
    <n v="9.6"/>
    <n v="8"/>
    <n v="10.5"/>
    <n v="9.3666666666666671"/>
    <n v="78"/>
    <n v="6"/>
    <s v="Reprovado"/>
    <s v="Beira"/>
    <s v="Maputo"/>
    <s v="Não"/>
    <n v="2026"/>
    <s v="Laboral"/>
    <s v="Noite"/>
    <s v="Ativo"/>
  </r>
  <r>
    <n v="20"/>
    <s v="Est 20"/>
    <x v="0"/>
    <n v="22"/>
    <x v="1"/>
    <s v="FACE"/>
    <x v="3"/>
    <s v="T2"/>
    <x v="8"/>
    <x v="11"/>
    <n v="1"/>
    <n v="8.4"/>
    <n v="15.1"/>
    <n v="18.8"/>
    <n v="14.1"/>
    <n v="100"/>
    <n v="5"/>
    <s v="Aprovado"/>
    <s v="Nampula"/>
    <s v="Nampula"/>
    <s v="Sim"/>
    <n v="2022"/>
    <s v="Pós"/>
    <s v="Manhã"/>
    <s v="Ativo"/>
  </r>
  <r>
    <n v="21"/>
    <s v="Est 21"/>
    <x v="0"/>
    <n v="22"/>
    <x v="1"/>
    <s v="FACE"/>
    <x v="1"/>
    <s v="T2"/>
    <x v="3"/>
    <x v="1"/>
    <n v="1"/>
    <n v="14.1"/>
    <n v="11.1"/>
    <n v="8"/>
    <n v="11.066666666666668"/>
    <n v="81"/>
    <n v="8"/>
    <s v="Aprovado"/>
    <s v="Nampula"/>
    <s v="Sofala"/>
    <s v="Não"/>
    <n v="2026"/>
    <s v="Pós"/>
    <s v="Manhã"/>
    <s v="Ativo"/>
  </r>
  <r>
    <n v="22"/>
    <s v="Est 22"/>
    <x v="1"/>
    <n v="30"/>
    <x v="2"/>
    <s v="FACE"/>
    <x v="3"/>
    <s v="T3"/>
    <x v="4"/>
    <x v="3"/>
    <n v="1"/>
    <n v="14.8"/>
    <n v="17.2"/>
    <n v="9.9"/>
    <n v="13.966666666666667"/>
    <n v="74"/>
    <n v="4"/>
    <s v="Aprovado"/>
    <s v="Maputo"/>
    <s v="Sofala"/>
    <s v="Sim"/>
    <n v="2026"/>
    <s v="Laboral"/>
    <s v="Noite"/>
    <s v="Ativo"/>
  </r>
  <r>
    <n v="23"/>
    <s v="Est 23"/>
    <x v="1"/>
    <n v="19"/>
    <x v="1"/>
    <s v="FACE"/>
    <x v="0"/>
    <s v="T3"/>
    <x v="7"/>
    <x v="1"/>
    <n v="1"/>
    <n v="15.8"/>
    <n v="16.600000000000001"/>
    <n v="9.5"/>
    <n v="13.966666666666669"/>
    <n v="61"/>
    <n v="5"/>
    <s v="Aprovado"/>
    <s v="Maputo"/>
    <s v="Maputo"/>
    <s v="Sim"/>
    <n v="2022"/>
    <s v="Pós"/>
    <s v="Manhã"/>
    <s v="Ativo"/>
  </r>
  <r>
    <n v="24"/>
    <s v="Est 24"/>
    <x v="0"/>
    <n v="34"/>
    <x v="1"/>
    <s v="FACE"/>
    <x v="1"/>
    <s v="T2"/>
    <x v="3"/>
    <x v="1"/>
    <n v="2"/>
    <n v="13.3"/>
    <n v="13.6"/>
    <n v="11.2"/>
    <n v="12.699999999999998"/>
    <n v="92"/>
    <n v="7"/>
    <s v="Aprovado"/>
    <s v="Beira"/>
    <s v="Sofala"/>
    <s v="Sim"/>
    <n v="2023"/>
    <s v="Pós"/>
    <s v="Noite"/>
    <s v="Ativo"/>
  </r>
  <r>
    <n v="25"/>
    <s v="Est 25"/>
    <x v="0"/>
    <n v="20"/>
    <x v="2"/>
    <s v="FACE"/>
    <x v="0"/>
    <s v="T4"/>
    <x v="5"/>
    <x v="7"/>
    <n v="2"/>
    <n v="15.2"/>
    <n v="17.899999999999999"/>
    <n v="8.6999999999999993"/>
    <n v="13.933333333333332"/>
    <n v="61"/>
    <n v="4"/>
    <s v="Aprovado"/>
    <s v="Maputo"/>
    <s v="Sofala"/>
    <s v="Não"/>
    <n v="2026"/>
    <s v="Pós"/>
    <s v="Noite"/>
    <s v="Ativo"/>
  </r>
  <r>
    <n v="26"/>
    <s v="Est 26"/>
    <x v="0"/>
    <n v="30"/>
    <x v="0"/>
    <s v="FACE"/>
    <x v="3"/>
    <s v="T2"/>
    <x v="9"/>
    <x v="4"/>
    <n v="1"/>
    <n v="8.3000000000000007"/>
    <n v="16.600000000000001"/>
    <n v="14.1"/>
    <n v="13"/>
    <n v="81"/>
    <n v="5"/>
    <s v="Aprovado"/>
    <s v="Beira"/>
    <s v="Maputo"/>
    <s v="Sim"/>
    <n v="2024"/>
    <s v="Pós"/>
    <s v="Noite"/>
    <s v="Ativo"/>
  </r>
  <r>
    <n v="27"/>
    <s v="Est 27"/>
    <x v="0"/>
    <n v="34"/>
    <x v="2"/>
    <s v="FACE"/>
    <x v="0"/>
    <s v="T2"/>
    <x v="4"/>
    <x v="12"/>
    <n v="2"/>
    <n v="10"/>
    <n v="12.4"/>
    <n v="18.100000000000001"/>
    <n v="13.5"/>
    <n v="72"/>
    <n v="4"/>
    <s v="Aprovado"/>
    <s v="Beira"/>
    <s v="Nampula"/>
    <s v="Sim"/>
    <n v="2023"/>
    <s v="Laboral"/>
    <s v="Noite"/>
    <s v="Ativo"/>
  </r>
  <r>
    <n v="28"/>
    <s v="Est 28"/>
    <x v="1"/>
    <n v="25"/>
    <x v="2"/>
    <s v="FACE"/>
    <x v="3"/>
    <s v="T3"/>
    <x v="4"/>
    <x v="10"/>
    <n v="2"/>
    <n v="12.8"/>
    <n v="11"/>
    <n v="14.9"/>
    <n v="12.9"/>
    <n v="88"/>
    <n v="8"/>
    <s v="Aprovado"/>
    <s v="Maputo"/>
    <s v="Maputo"/>
    <s v="Não"/>
    <n v="2022"/>
    <s v="Laboral"/>
    <s v="Manhã"/>
    <s v="Ativo"/>
  </r>
  <r>
    <n v="29"/>
    <s v="Est 29"/>
    <x v="0"/>
    <n v="31"/>
    <x v="1"/>
    <s v="FACE"/>
    <x v="3"/>
    <s v="T4"/>
    <x v="4"/>
    <x v="3"/>
    <n v="2"/>
    <n v="11.1"/>
    <n v="8.6999999999999993"/>
    <n v="10.7"/>
    <n v="10.166666666666666"/>
    <n v="65"/>
    <n v="7"/>
    <s v="Aprovado"/>
    <s v="Nampula"/>
    <s v="Sofala"/>
    <s v="Não"/>
    <n v="2022"/>
    <s v="Laboral"/>
    <s v="Manhã"/>
    <s v="Ativo"/>
  </r>
  <r>
    <n v="30"/>
    <s v="Est 30"/>
    <x v="0"/>
    <n v="24"/>
    <x v="1"/>
    <s v="FACE"/>
    <x v="0"/>
    <s v="T1"/>
    <x v="8"/>
    <x v="10"/>
    <n v="2"/>
    <n v="11.7"/>
    <n v="16.100000000000001"/>
    <n v="11.3"/>
    <n v="13.033333333333333"/>
    <n v="96"/>
    <n v="8"/>
    <s v="Aprovado"/>
    <s v="Nampula"/>
    <s v="Maputo"/>
    <s v="Não"/>
    <n v="2023"/>
    <s v="Pós"/>
    <s v="Noite"/>
    <s v="Ativo"/>
  </r>
  <r>
    <n v="31"/>
    <s v="Est 31"/>
    <x v="1"/>
    <n v="28"/>
    <x v="2"/>
    <s v="FACE"/>
    <x v="3"/>
    <s v="T1"/>
    <x v="10"/>
    <x v="13"/>
    <n v="2"/>
    <n v="10.7"/>
    <n v="13.7"/>
    <n v="13.2"/>
    <n v="12.533333333333331"/>
    <n v="92"/>
    <n v="6"/>
    <s v="Aprovado"/>
    <s v="Nampula"/>
    <s v="Maputo"/>
    <s v="Não"/>
    <n v="2022"/>
    <s v="Pós"/>
    <s v="Manhã"/>
    <s v="Ativo"/>
  </r>
  <r>
    <n v="32"/>
    <s v="Est 32"/>
    <x v="1"/>
    <n v="29"/>
    <x v="1"/>
    <s v="FACE"/>
    <x v="2"/>
    <s v="T1"/>
    <x v="6"/>
    <x v="13"/>
    <n v="1"/>
    <n v="16.5"/>
    <n v="9.3000000000000007"/>
    <n v="14.2"/>
    <n v="13.333333333333334"/>
    <n v="80"/>
    <n v="7"/>
    <s v="Aprovado"/>
    <s v="Maputo"/>
    <s v="Nampula"/>
    <s v="Não"/>
    <n v="2022"/>
    <s v="Pós"/>
    <s v="Noite"/>
    <s v="Ativo"/>
  </r>
  <r>
    <n v="33"/>
    <s v="Est 33"/>
    <x v="0"/>
    <n v="33"/>
    <x v="2"/>
    <s v="FACE"/>
    <x v="2"/>
    <s v="T4"/>
    <x v="8"/>
    <x v="11"/>
    <n v="1"/>
    <n v="17.3"/>
    <n v="14"/>
    <n v="8.4"/>
    <n v="13.233333333333334"/>
    <n v="70"/>
    <n v="5"/>
    <s v="Aprovado"/>
    <s v="Nampula"/>
    <s v="Sofala"/>
    <s v="Sim"/>
    <n v="2025"/>
    <s v="Pós"/>
    <s v="Noite"/>
    <s v="Ativo"/>
  </r>
  <r>
    <n v="34"/>
    <s v="Est 34"/>
    <x v="0"/>
    <n v="26"/>
    <x v="1"/>
    <s v="FACE"/>
    <x v="0"/>
    <s v="T4"/>
    <x v="3"/>
    <x v="13"/>
    <n v="2"/>
    <n v="15.6"/>
    <n v="15.8"/>
    <n v="19.5"/>
    <n v="16.966666666666665"/>
    <n v="64"/>
    <n v="4"/>
    <s v="Aprovado"/>
    <s v="Maputo"/>
    <s v="Sofala"/>
    <s v="Não"/>
    <n v="2024"/>
    <s v="Laboral"/>
    <s v="Manhã"/>
    <s v="Ativo"/>
  </r>
  <r>
    <n v="35"/>
    <s v="Est 35"/>
    <x v="1"/>
    <n v="26"/>
    <x v="1"/>
    <s v="FACE"/>
    <x v="2"/>
    <s v="T1"/>
    <x v="11"/>
    <x v="12"/>
    <n v="1"/>
    <n v="15.4"/>
    <n v="15.6"/>
    <n v="13.3"/>
    <n v="14.766666666666666"/>
    <n v="87"/>
    <n v="4"/>
    <s v="Aprovado"/>
    <s v="Beira"/>
    <s v="Sofala"/>
    <s v="Não"/>
    <n v="2024"/>
    <s v="Laboral"/>
    <s v="Manhã"/>
    <s v="Ativo"/>
  </r>
  <r>
    <n v="36"/>
    <s v="Est 36"/>
    <x v="1"/>
    <n v="35"/>
    <x v="1"/>
    <s v="FACE"/>
    <x v="0"/>
    <s v="T2"/>
    <x v="7"/>
    <x v="0"/>
    <n v="2"/>
    <n v="17.899999999999999"/>
    <n v="13.8"/>
    <n v="17.3"/>
    <n v="16.333333333333332"/>
    <n v="92"/>
    <n v="7"/>
    <s v="Aprovado"/>
    <s v="Nampula"/>
    <s v="Sofala"/>
    <s v="Não"/>
    <n v="2026"/>
    <s v="Pós"/>
    <s v="Manhã"/>
    <s v="Ativo"/>
  </r>
  <r>
    <n v="37"/>
    <s v="Est 37"/>
    <x v="1"/>
    <n v="34"/>
    <x v="2"/>
    <s v="FACE"/>
    <x v="2"/>
    <s v="T2"/>
    <x v="0"/>
    <x v="12"/>
    <n v="1"/>
    <n v="16.899999999999999"/>
    <n v="11.2"/>
    <n v="8.3000000000000007"/>
    <n v="12.133333333333333"/>
    <n v="64"/>
    <n v="5"/>
    <s v="Aprovado"/>
    <s v="Nampula"/>
    <s v="Maputo"/>
    <s v="Sim"/>
    <n v="2025"/>
    <s v="Laboral"/>
    <s v="Manhã"/>
    <s v="Ativo"/>
  </r>
  <r>
    <n v="38"/>
    <s v="Est 38"/>
    <x v="1"/>
    <n v="30"/>
    <x v="1"/>
    <s v="FACE"/>
    <x v="0"/>
    <s v="T2"/>
    <x v="0"/>
    <x v="1"/>
    <n v="2"/>
    <n v="13.4"/>
    <n v="16.3"/>
    <n v="13.6"/>
    <n v="14.433333333333335"/>
    <n v="73"/>
    <n v="6"/>
    <s v="Aprovado"/>
    <s v="Maputo"/>
    <s v="Sofala"/>
    <s v="Sim"/>
    <n v="2022"/>
    <s v="Pós"/>
    <s v="Manhã"/>
    <s v="Ativo"/>
  </r>
  <r>
    <n v="39"/>
    <s v="Est 39"/>
    <x v="1"/>
    <n v="29"/>
    <x v="0"/>
    <s v="FACE"/>
    <x v="1"/>
    <s v="T3"/>
    <x v="4"/>
    <x v="5"/>
    <n v="2"/>
    <n v="11"/>
    <n v="12.6"/>
    <n v="11.5"/>
    <n v="11.700000000000001"/>
    <n v="92"/>
    <n v="6"/>
    <s v="Aprovado"/>
    <s v="Nampula"/>
    <s v="Maputo"/>
    <s v="Sim"/>
    <n v="2023"/>
    <s v="Laboral"/>
    <s v="Noite"/>
    <s v="Ativo"/>
  </r>
  <r>
    <n v="40"/>
    <s v="Est 40"/>
    <x v="1"/>
    <n v="19"/>
    <x v="0"/>
    <s v="FACE"/>
    <x v="0"/>
    <s v="T2"/>
    <x v="4"/>
    <x v="8"/>
    <n v="1"/>
    <n v="9.1999999999999993"/>
    <n v="15"/>
    <n v="8.3000000000000007"/>
    <n v="10.833333333333334"/>
    <n v="97"/>
    <n v="5"/>
    <s v="Aprovado"/>
    <s v="Nampula"/>
    <s v="Maputo"/>
    <s v="Sim"/>
    <n v="2022"/>
    <s v="Pós"/>
    <s v="Manhã"/>
    <s v="Ativo"/>
  </r>
  <r>
    <n v="41"/>
    <s v="Est 41"/>
    <x v="0"/>
    <n v="22"/>
    <x v="1"/>
    <s v="FACE"/>
    <x v="1"/>
    <s v="T2"/>
    <x v="2"/>
    <x v="1"/>
    <n v="2"/>
    <n v="9.3000000000000007"/>
    <n v="15.6"/>
    <n v="11.6"/>
    <n v="12.166666666666666"/>
    <n v="99"/>
    <n v="5"/>
    <s v="Aprovado"/>
    <s v="Maputo"/>
    <s v="Maputo"/>
    <s v="Não"/>
    <n v="2026"/>
    <s v="Pós"/>
    <s v="Noite"/>
    <s v="Ativo"/>
  </r>
  <r>
    <n v="42"/>
    <s v="Est 42"/>
    <x v="1"/>
    <n v="23"/>
    <x v="2"/>
    <s v="FACE"/>
    <x v="1"/>
    <s v="T1"/>
    <x v="10"/>
    <x v="3"/>
    <n v="2"/>
    <n v="10.1"/>
    <n v="14.4"/>
    <n v="19.600000000000001"/>
    <n v="14.700000000000001"/>
    <n v="67"/>
    <n v="5"/>
    <s v="Aprovado"/>
    <s v="Maputo"/>
    <s v="Sofala"/>
    <s v="Não"/>
    <n v="2026"/>
    <s v="Laboral"/>
    <s v="Noite"/>
    <s v="Ativo"/>
  </r>
  <r>
    <n v="43"/>
    <s v="Est 43"/>
    <x v="1"/>
    <n v="33"/>
    <x v="1"/>
    <s v="FACE"/>
    <x v="3"/>
    <s v="T3"/>
    <x v="4"/>
    <x v="14"/>
    <n v="1"/>
    <n v="14.7"/>
    <n v="8.8000000000000007"/>
    <n v="16.600000000000001"/>
    <n v="13.366666666666667"/>
    <n v="70"/>
    <n v="7"/>
    <s v="Aprovado"/>
    <s v="Maputo"/>
    <s v="Nampula"/>
    <s v="Não"/>
    <n v="2022"/>
    <s v="Laboral"/>
    <s v="Noite"/>
    <s v="Ativo"/>
  </r>
  <r>
    <n v="44"/>
    <s v="Est 44"/>
    <x v="1"/>
    <n v="24"/>
    <x v="1"/>
    <s v="FACE"/>
    <x v="3"/>
    <s v="T3"/>
    <x v="5"/>
    <x v="10"/>
    <n v="2"/>
    <n v="13.2"/>
    <n v="16.2"/>
    <n v="11.4"/>
    <n v="13.6"/>
    <n v="93"/>
    <n v="6"/>
    <s v="Aprovado"/>
    <s v="Maputo"/>
    <s v="Maputo"/>
    <s v="Não"/>
    <n v="2023"/>
    <s v="Laboral"/>
    <s v="Manhã"/>
    <s v="Ativo"/>
  </r>
  <r>
    <n v="45"/>
    <s v="Est 45"/>
    <x v="0"/>
    <n v="29"/>
    <x v="1"/>
    <s v="FACE"/>
    <x v="1"/>
    <s v="T1"/>
    <x v="0"/>
    <x v="1"/>
    <n v="1"/>
    <n v="15"/>
    <n v="9.8000000000000007"/>
    <n v="12.8"/>
    <n v="12.533333333333333"/>
    <n v="88"/>
    <n v="8"/>
    <s v="Aprovado"/>
    <s v="Beira"/>
    <s v="Maputo"/>
    <s v="Sim"/>
    <n v="2024"/>
    <s v="Laboral"/>
    <s v="Noite"/>
    <s v="Ativo"/>
  </r>
  <r>
    <n v="46"/>
    <s v="Est 46"/>
    <x v="0"/>
    <n v="32"/>
    <x v="2"/>
    <s v="FACE"/>
    <x v="0"/>
    <s v="T4"/>
    <x v="3"/>
    <x v="11"/>
    <n v="2"/>
    <n v="9.9"/>
    <n v="17.5"/>
    <n v="9.3000000000000007"/>
    <n v="12.233333333333334"/>
    <n v="80"/>
    <n v="6"/>
    <s v="Aprovado"/>
    <s v="Beira"/>
    <s v="Sofala"/>
    <s v="Não"/>
    <n v="2023"/>
    <s v="Laboral"/>
    <s v="Manhã"/>
    <s v="Ativo"/>
  </r>
  <r>
    <n v="47"/>
    <s v="Est 47"/>
    <x v="1"/>
    <n v="28"/>
    <x v="1"/>
    <s v="FACE"/>
    <x v="3"/>
    <s v="T1"/>
    <x v="3"/>
    <x v="4"/>
    <n v="1"/>
    <n v="12.5"/>
    <n v="8.4"/>
    <n v="11.8"/>
    <n v="10.9"/>
    <n v="81"/>
    <n v="6"/>
    <s v="Aprovado"/>
    <s v="Nampula"/>
    <s v="Sofala"/>
    <s v="Não"/>
    <n v="2023"/>
    <s v="Pós"/>
    <s v="Manhã"/>
    <s v="Ativo"/>
  </r>
  <r>
    <n v="48"/>
    <s v="Est 48"/>
    <x v="0"/>
    <n v="31"/>
    <x v="1"/>
    <s v="FACE"/>
    <x v="0"/>
    <s v="T3"/>
    <x v="7"/>
    <x v="13"/>
    <n v="1"/>
    <n v="10.8"/>
    <n v="12.2"/>
    <n v="12.8"/>
    <n v="11.933333333333332"/>
    <n v="86"/>
    <n v="6"/>
    <s v="Aprovado"/>
    <s v="Nampula"/>
    <s v="Maputo"/>
    <s v="Não"/>
    <n v="2022"/>
    <s v="Pós"/>
    <s v="Noite"/>
    <s v="Ativo"/>
  </r>
  <r>
    <n v="49"/>
    <s v="Est 49"/>
    <x v="0"/>
    <n v="31"/>
    <x v="0"/>
    <s v="FACE"/>
    <x v="3"/>
    <s v="T2"/>
    <x v="7"/>
    <x v="9"/>
    <n v="2"/>
    <n v="11"/>
    <n v="12"/>
    <n v="14.2"/>
    <n v="12.4"/>
    <n v="61"/>
    <n v="4"/>
    <s v="Aprovado"/>
    <s v="Nampula"/>
    <s v="Nampula"/>
    <s v="Sim"/>
    <n v="2022"/>
    <s v="Laboral"/>
    <s v="Manhã"/>
    <s v="Ativo"/>
  </r>
  <r>
    <n v="50"/>
    <s v="Est 50"/>
    <x v="0"/>
    <n v="25"/>
    <x v="2"/>
    <s v="FACE"/>
    <x v="2"/>
    <s v="T4"/>
    <x v="4"/>
    <x v="5"/>
    <n v="1"/>
    <n v="17.899999999999999"/>
    <n v="16.8"/>
    <n v="10.6"/>
    <n v="15.100000000000001"/>
    <n v="90"/>
    <n v="7"/>
    <s v="Aprovado"/>
    <s v="Maputo"/>
    <s v="Maputo"/>
    <s v="Sim"/>
    <n v="2022"/>
    <s v="Pós"/>
    <s v="Manhã"/>
    <s v="Ativo"/>
  </r>
  <r>
    <n v="51"/>
    <s v="Est 51"/>
    <x v="0"/>
    <n v="18"/>
    <x v="1"/>
    <s v="FACE"/>
    <x v="1"/>
    <s v="T1"/>
    <x v="0"/>
    <x v="4"/>
    <n v="2"/>
    <n v="15.2"/>
    <n v="16.2"/>
    <n v="10"/>
    <n v="13.799999999999999"/>
    <n v="80"/>
    <n v="5"/>
    <s v="Aprovado"/>
    <s v="Maputo"/>
    <s v="Sofala"/>
    <s v="Não"/>
    <n v="2023"/>
    <s v="Laboral"/>
    <s v="Manhã"/>
    <s v="Ativo"/>
  </r>
  <r>
    <n v="52"/>
    <s v="Est 52"/>
    <x v="0"/>
    <n v="26"/>
    <x v="0"/>
    <s v="FACE"/>
    <x v="3"/>
    <s v="T1"/>
    <x v="0"/>
    <x v="5"/>
    <n v="1"/>
    <n v="16.899999999999999"/>
    <n v="13"/>
    <n v="18.100000000000001"/>
    <n v="16"/>
    <n v="99"/>
    <n v="6"/>
    <s v="Aprovado"/>
    <s v="Nampula"/>
    <s v="Sofala"/>
    <s v="Sim"/>
    <n v="2026"/>
    <s v="Laboral"/>
    <s v="Noite"/>
    <s v="Ativo"/>
  </r>
  <r>
    <n v="53"/>
    <s v="Est 53"/>
    <x v="1"/>
    <n v="27"/>
    <x v="0"/>
    <s v="FACE"/>
    <x v="1"/>
    <s v="T1"/>
    <x v="4"/>
    <x v="7"/>
    <n v="2"/>
    <n v="13.6"/>
    <n v="9.6999999999999993"/>
    <n v="17.399999999999999"/>
    <n v="13.566666666666665"/>
    <n v="81"/>
    <n v="4"/>
    <s v="Aprovado"/>
    <s v="Maputo"/>
    <s v="Sofala"/>
    <s v="Não"/>
    <n v="2023"/>
    <s v="Pós"/>
    <s v="Manhã"/>
    <s v="Ativo"/>
  </r>
  <r>
    <n v="54"/>
    <s v="Est 54"/>
    <x v="1"/>
    <n v="23"/>
    <x v="2"/>
    <s v="FACE"/>
    <x v="3"/>
    <s v="T3"/>
    <x v="0"/>
    <x v="3"/>
    <n v="1"/>
    <n v="14.9"/>
    <n v="10.3"/>
    <n v="11.3"/>
    <n v="12.166666666666666"/>
    <n v="90"/>
    <n v="5"/>
    <s v="Aprovado"/>
    <s v="Beira"/>
    <s v="Maputo"/>
    <s v="Sim"/>
    <n v="2026"/>
    <s v="Pós"/>
    <s v="Noite"/>
    <s v="Ativo"/>
  </r>
  <r>
    <n v="55"/>
    <s v="Est 55"/>
    <x v="0"/>
    <n v="27"/>
    <x v="0"/>
    <s v="FACE"/>
    <x v="0"/>
    <s v="T4"/>
    <x v="2"/>
    <x v="2"/>
    <n v="1"/>
    <n v="8.6"/>
    <n v="16.3"/>
    <n v="16.2"/>
    <n v="13.699999999999998"/>
    <n v="64"/>
    <n v="7"/>
    <s v="Aprovado"/>
    <s v="Maputo"/>
    <s v="Maputo"/>
    <s v="Sim"/>
    <n v="2022"/>
    <s v="Laboral"/>
    <s v="Noite"/>
    <s v="Ativo"/>
  </r>
  <r>
    <n v="56"/>
    <s v="Est 56"/>
    <x v="1"/>
    <n v="22"/>
    <x v="0"/>
    <s v="FACE"/>
    <x v="0"/>
    <s v="T4"/>
    <x v="4"/>
    <x v="5"/>
    <n v="1"/>
    <n v="12.9"/>
    <n v="16.399999999999999"/>
    <n v="19.899999999999999"/>
    <n v="16.399999999999999"/>
    <n v="81"/>
    <n v="4"/>
    <s v="Aprovado"/>
    <s v="Nampula"/>
    <s v="Nampula"/>
    <s v="Sim"/>
    <n v="2025"/>
    <s v="Laboral"/>
    <s v="Noite"/>
    <s v="Ativo"/>
  </r>
  <r>
    <n v="57"/>
    <s v="Est 57"/>
    <x v="1"/>
    <n v="20"/>
    <x v="0"/>
    <s v="FACE"/>
    <x v="0"/>
    <s v="T3"/>
    <x v="10"/>
    <x v="9"/>
    <n v="1"/>
    <n v="17.2"/>
    <n v="11.4"/>
    <n v="11.2"/>
    <n v="13.266666666666666"/>
    <n v="76"/>
    <n v="8"/>
    <s v="Aprovado"/>
    <s v="Beira"/>
    <s v="Sofala"/>
    <s v="Não"/>
    <n v="2023"/>
    <s v="Pós"/>
    <s v="Noite"/>
    <s v="Ativo"/>
  </r>
  <r>
    <n v="58"/>
    <s v="Est 58"/>
    <x v="1"/>
    <n v="33"/>
    <x v="0"/>
    <s v="FACE"/>
    <x v="0"/>
    <s v="T3"/>
    <x v="6"/>
    <x v="12"/>
    <n v="2"/>
    <n v="14.7"/>
    <n v="12.6"/>
    <n v="17.399999999999999"/>
    <n v="14.899999999999999"/>
    <n v="96"/>
    <n v="5"/>
    <s v="Aprovado"/>
    <s v="Beira"/>
    <s v="Maputo"/>
    <s v="Não"/>
    <n v="2023"/>
    <s v="Pós"/>
    <s v="Manhã"/>
    <s v="Ativo"/>
  </r>
  <r>
    <n v="59"/>
    <s v="Est 59"/>
    <x v="0"/>
    <n v="30"/>
    <x v="2"/>
    <s v="FACE"/>
    <x v="3"/>
    <s v="T2"/>
    <x v="10"/>
    <x v="12"/>
    <n v="1"/>
    <n v="14.6"/>
    <n v="12.3"/>
    <n v="18"/>
    <n v="14.966666666666667"/>
    <n v="100"/>
    <n v="8"/>
    <s v="Aprovado"/>
    <s v="Nampula"/>
    <s v="Maputo"/>
    <s v="Sim"/>
    <n v="2022"/>
    <s v="Laboral"/>
    <s v="Manhã"/>
    <s v="Ativo"/>
  </r>
  <r>
    <n v="60"/>
    <s v="Est 60"/>
    <x v="1"/>
    <n v="32"/>
    <x v="1"/>
    <s v="FACE"/>
    <x v="1"/>
    <s v="T1"/>
    <x v="5"/>
    <x v="9"/>
    <n v="1"/>
    <n v="10.6"/>
    <n v="12.6"/>
    <n v="9.9"/>
    <n v="11.033333333333333"/>
    <n v="66"/>
    <n v="7"/>
    <s v="Aprovado"/>
    <s v="Beira"/>
    <s v="Sofala"/>
    <s v="Não"/>
    <n v="2022"/>
    <s v="Laboral"/>
    <s v="Noite"/>
    <s v="Ativo"/>
  </r>
  <r>
    <n v="61"/>
    <s v="Est 61"/>
    <x v="0"/>
    <n v="20"/>
    <x v="2"/>
    <s v="FACE"/>
    <x v="1"/>
    <s v="T4"/>
    <x v="10"/>
    <x v="6"/>
    <n v="1"/>
    <n v="15.2"/>
    <n v="11.2"/>
    <n v="18.8"/>
    <n v="15.066666666666668"/>
    <n v="68"/>
    <n v="8"/>
    <s v="Aprovado"/>
    <s v="Maputo"/>
    <s v="Sofala"/>
    <s v="Sim"/>
    <n v="2026"/>
    <s v="Laboral"/>
    <s v="Noite"/>
    <s v="Ativo"/>
  </r>
  <r>
    <n v="62"/>
    <s v="Est 62"/>
    <x v="0"/>
    <n v="32"/>
    <x v="0"/>
    <s v="FACE"/>
    <x v="1"/>
    <s v="T1"/>
    <x v="3"/>
    <x v="2"/>
    <n v="2"/>
    <n v="14"/>
    <n v="8.6999999999999993"/>
    <n v="18.100000000000001"/>
    <n v="13.6"/>
    <n v="75"/>
    <n v="4"/>
    <s v="Aprovado"/>
    <s v="Maputo"/>
    <s v="Nampula"/>
    <s v="Não"/>
    <n v="2023"/>
    <s v="Laboral"/>
    <s v="Noite"/>
    <s v="Ativo"/>
  </r>
  <r>
    <n v="63"/>
    <s v="Est 63"/>
    <x v="1"/>
    <n v="28"/>
    <x v="0"/>
    <s v="FACE"/>
    <x v="1"/>
    <s v="T3"/>
    <x v="3"/>
    <x v="7"/>
    <n v="2"/>
    <n v="12.1"/>
    <n v="8.6999999999999993"/>
    <n v="16.7"/>
    <n v="12.5"/>
    <n v="74"/>
    <n v="5"/>
    <s v="Aprovado"/>
    <s v="Beira"/>
    <s v="Sofala"/>
    <s v="Não"/>
    <n v="2023"/>
    <s v="Pós"/>
    <s v="Noite"/>
    <s v="Ativo"/>
  </r>
  <r>
    <n v="64"/>
    <s v="Est 64"/>
    <x v="0"/>
    <n v="26"/>
    <x v="1"/>
    <s v="FACE"/>
    <x v="1"/>
    <s v="T2"/>
    <x v="10"/>
    <x v="1"/>
    <n v="2"/>
    <n v="13.1"/>
    <n v="14.3"/>
    <n v="13.6"/>
    <n v="13.666666666666666"/>
    <n v="95"/>
    <n v="8"/>
    <s v="Aprovado"/>
    <s v="Nampula"/>
    <s v="Maputo"/>
    <s v="Sim"/>
    <n v="2022"/>
    <s v="Laboral"/>
    <s v="Noite"/>
    <s v="Ativo"/>
  </r>
  <r>
    <n v="65"/>
    <s v="Est 65"/>
    <x v="1"/>
    <n v="25"/>
    <x v="0"/>
    <s v="FACE"/>
    <x v="3"/>
    <s v="T4"/>
    <x v="5"/>
    <x v="0"/>
    <n v="1"/>
    <n v="17"/>
    <n v="8.3000000000000007"/>
    <n v="15.2"/>
    <n v="13.5"/>
    <n v="98"/>
    <n v="6"/>
    <s v="Aprovado"/>
    <s v="Maputo"/>
    <s v="Nampula"/>
    <s v="Sim"/>
    <n v="2025"/>
    <s v="Laboral"/>
    <s v="Noite"/>
    <s v="Ativo"/>
  </r>
  <r>
    <n v="66"/>
    <s v="Est 66"/>
    <x v="0"/>
    <n v="23"/>
    <x v="1"/>
    <s v="FACE"/>
    <x v="0"/>
    <s v="T1"/>
    <x v="4"/>
    <x v="4"/>
    <n v="2"/>
    <n v="11.8"/>
    <n v="11"/>
    <n v="13.9"/>
    <n v="12.233333333333334"/>
    <n v="100"/>
    <n v="5"/>
    <s v="Aprovado"/>
    <s v="Maputo"/>
    <s v="Maputo"/>
    <s v="Não"/>
    <n v="2024"/>
    <s v="Laboral"/>
    <s v="Noite"/>
    <s v="Ativo"/>
  </r>
  <r>
    <n v="67"/>
    <s v="Est 67"/>
    <x v="0"/>
    <n v="33"/>
    <x v="0"/>
    <s v="FACE"/>
    <x v="3"/>
    <s v="T4"/>
    <x v="7"/>
    <x v="13"/>
    <n v="2"/>
    <n v="12.2"/>
    <n v="12.8"/>
    <n v="12.4"/>
    <n v="12.466666666666667"/>
    <n v="65"/>
    <n v="5"/>
    <s v="Aprovado"/>
    <s v="Nampula"/>
    <s v="Nampula"/>
    <s v="Sim"/>
    <n v="2023"/>
    <s v="Laboral"/>
    <s v="Noite"/>
    <s v="Ativo"/>
  </r>
  <r>
    <n v="68"/>
    <s v="Est 68"/>
    <x v="1"/>
    <n v="30"/>
    <x v="0"/>
    <s v="FACE"/>
    <x v="0"/>
    <s v="T3"/>
    <x v="11"/>
    <x v="12"/>
    <n v="2"/>
    <n v="13"/>
    <n v="16.899999999999999"/>
    <n v="13.6"/>
    <n v="14.5"/>
    <n v="76"/>
    <n v="4"/>
    <s v="Aprovado"/>
    <s v="Nampula"/>
    <s v="Nampula"/>
    <s v="Não"/>
    <n v="2024"/>
    <s v="Laboral"/>
    <s v="Manhã"/>
    <s v="Ativo"/>
  </r>
  <r>
    <n v="69"/>
    <s v="Est 69"/>
    <x v="0"/>
    <n v="32"/>
    <x v="0"/>
    <s v="FACE"/>
    <x v="2"/>
    <s v="T1"/>
    <x v="4"/>
    <x v="13"/>
    <n v="1"/>
    <n v="15.6"/>
    <n v="15.9"/>
    <n v="11.1"/>
    <n v="14.200000000000001"/>
    <n v="70"/>
    <n v="8"/>
    <s v="Aprovado"/>
    <s v="Maputo"/>
    <s v="Sofala"/>
    <s v="Sim"/>
    <n v="2024"/>
    <s v="Pós"/>
    <s v="Manhã"/>
    <s v="Ativo"/>
  </r>
  <r>
    <n v="70"/>
    <s v="Est 70"/>
    <x v="1"/>
    <n v="30"/>
    <x v="0"/>
    <s v="FACE"/>
    <x v="1"/>
    <s v="T1"/>
    <x v="9"/>
    <x v="5"/>
    <n v="2"/>
    <n v="17.100000000000001"/>
    <n v="14.6"/>
    <n v="10.6"/>
    <n v="14.100000000000001"/>
    <n v="65"/>
    <n v="8"/>
    <s v="Aprovado"/>
    <s v="Beira"/>
    <s v="Sofala"/>
    <s v="Não"/>
    <n v="2025"/>
    <s v="Pós"/>
    <s v="Manhã"/>
    <s v="Ativo"/>
  </r>
  <r>
    <n v="71"/>
    <s v="Est 71"/>
    <x v="1"/>
    <n v="29"/>
    <x v="2"/>
    <s v="FACE"/>
    <x v="0"/>
    <s v="T3"/>
    <x v="1"/>
    <x v="12"/>
    <n v="1"/>
    <n v="11.4"/>
    <n v="12.8"/>
    <n v="11.6"/>
    <n v="11.933333333333335"/>
    <n v="78"/>
    <n v="8"/>
    <s v="Aprovado"/>
    <s v="Beira"/>
    <s v="Maputo"/>
    <s v="Não"/>
    <n v="2023"/>
    <s v="Pós"/>
    <s v="Manhã"/>
    <s v="Ativo"/>
  </r>
  <r>
    <n v="72"/>
    <s v="Est 72"/>
    <x v="1"/>
    <n v="29"/>
    <x v="1"/>
    <s v="FACE"/>
    <x v="2"/>
    <s v="T4"/>
    <x v="1"/>
    <x v="4"/>
    <n v="1"/>
    <n v="14.9"/>
    <n v="9.5"/>
    <n v="8.5"/>
    <n v="10.966666666666667"/>
    <n v="77"/>
    <n v="6"/>
    <s v="Aprovado"/>
    <s v="Maputo"/>
    <s v="Nampula"/>
    <s v="Não"/>
    <n v="2023"/>
    <s v="Pós"/>
    <s v="Noite"/>
    <s v="Ativo"/>
  </r>
  <r>
    <n v="73"/>
    <s v="Est 73"/>
    <x v="0"/>
    <n v="18"/>
    <x v="1"/>
    <s v="FACE"/>
    <x v="0"/>
    <s v="T3"/>
    <x v="1"/>
    <x v="11"/>
    <n v="1"/>
    <n v="10.1"/>
    <n v="11.9"/>
    <n v="8.9"/>
    <n v="10.299999999999999"/>
    <n v="75"/>
    <n v="4"/>
    <s v="Aprovado"/>
    <s v="Beira"/>
    <s v="Nampula"/>
    <s v="Sim"/>
    <n v="2022"/>
    <s v="Laboral"/>
    <s v="Noite"/>
    <s v="Ativo"/>
  </r>
  <r>
    <n v="74"/>
    <s v="Est 74"/>
    <x v="0"/>
    <n v="23"/>
    <x v="0"/>
    <s v="FACE"/>
    <x v="0"/>
    <s v="T4"/>
    <x v="11"/>
    <x v="12"/>
    <n v="2"/>
    <n v="11.2"/>
    <n v="10.7"/>
    <n v="14.6"/>
    <n v="12.166666666666666"/>
    <n v="89"/>
    <n v="4"/>
    <s v="Aprovado"/>
    <s v="Beira"/>
    <s v="Maputo"/>
    <s v="Não"/>
    <n v="2022"/>
    <s v="Pós"/>
    <s v="Manhã"/>
    <s v="Ativo"/>
  </r>
  <r>
    <n v="75"/>
    <s v="Est 75"/>
    <x v="1"/>
    <n v="33"/>
    <x v="0"/>
    <s v="FACE"/>
    <x v="3"/>
    <s v="T3"/>
    <x v="10"/>
    <x v="11"/>
    <n v="2"/>
    <n v="8.1999999999999993"/>
    <n v="15.3"/>
    <n v="13.6"/>
    <n v="12.366666666666667"/>
    <n v="76"/>
    <n v="8"/>
    <s v="Aprovado"/>
    <s v="Maputo"/>
    <s v="Nampula"/>
    <s v="Sim"/>
    <n v="2024"/>
    <s v="Laboral"/>
    <s v="Manhã"/>
    <s v="Ativo"/>
  </r>
  <r>
    <n v="76"/>
    <s v="Est 76"/>
    <x v="1"/>
    <n v="31"/>
    <x v="1"/>
    <s v="FACE"/>
    <x v="3"/>
    <s v="T1"/>
    <x v="9"/>
    <x v="12"/>
    <n v="2"/>
    <n v="16.7"/>
    <n v="8.6"/>
    <n v="16.100000000000001"/>
    <n v="13.799999999999999"/>
    <n v="84"/>
    <n v="4"/>
    <s v="Aprovado"/>
    <s v="Nampula"/>
    <s v="Maputo"/>
    <s v="Não"/>
    <n v="2023"/>
    <s v="Pós"/>
    <s v="Noite"/>
    <s v="Ativo"/>
  </r>
  <r>
    <n v="77"/>
    <s v="Est 77"/>
    <x v="0"/>
    <n v="18"/>
    <x v="0"/>
    <s v="FACE"/>
    <x v="3"/>
    <s v="T2"/>
    <x v="3"/>
    <x v="8"/>
    <n v="2"/>
    <n v="12.2"/>
    <n v="13.6"/>
    <n v="19.100000000000001"/>
    <n v="14.966666666666667"/>
    <n v="83"/>
    <n v="4"/>
    <s v="Aprovado"/>
    <s v="Beira"/>
    <s v="Maputo"/>
    <s v="Sim"/>
    <n v="2024"/>
    <s v="Laboral"/>
    <s v="Noite"/>
    <s v="Ativo"/>
  </r>
  <r>
    <n v="78"/>
    <s v="Est 78"/>
    <x v="1"/>
    <n v="20"/>
    <x v="0"/>
    <s v="FACE"/>
    <x v="2"/>
    <s v="T2"/>
    <x v="3"/>
    <x v="3"/>
    <n v="1"/>
    <n v="15.8"/>
    <n v="8.1999999999999993"/>
    <n v="8.6"/>
    <n v="10.866666666666667"/>
    <n v="80"/>
    <n v="5"/>
    <s v="Aprovado"/>
    <s v="Nampula"/>
    <s v="Maputo"/>
    <s v="Sim"/>
    <n v="2024"/>
    <s v="Laboral"/>
    <s v="Noite"/>
    <s v="Ativo"/>
  </r>
  <r>
    <n v="79"/>
    <s v="Est 79"/>
    <x v="0"/>
    <n v="25"/>
    <x v="0"/>
    <s v="FACE"/>
    <x v="0"/>
    <s v="T3"/>
    <x v="9"/>
    <x v="7"/>
    <n v="2"/>
    <n v="16.8"/>
    <n v="13.5"/>
    <n v="12.6"/>
    <n v="14.299999999999999"/>
    <n v="84"/>
    <n v="5"/>
    <s v="Aprovado"/>
    <s v="Nampula"/>
    <s v="Nampula"/>
    <s v="Sim"/>
    <n v="2025"/>
    <s v="Laboral"/>
    <s v="Noite"/>
    <s v="Ativo"/>
  </r>
  <r>
    <n v="80"/>
    <s v="Est 80"/>
    <x v="1"/>
    <n v="35"/>
    <x v="0"/>
    <s v="FACE"/>
    <x v="2"/>
    <s v="T1"/>
    <x v="8"/>
    <x v="9"/>
    <n v="2"/>
    <n v="11.5"/>
    <n v="18"/>
    <n v="18"/>
    <n v="15.833333333333334"/>
    <n v="86"/>
    <n v="8"/>
    <s v="Aprovado"/>
    <s v="Maputo"/>
    <s v="Nampula"/>
    <s v="Não"/>
    <n v="2026"/>
    <s v="Pós"/>
    <s v="Manhã"/>
    <s v="Ativo"/>
  </r>
  <r>
    <n v="81"/>
    <s v="Est 81"/>
    <x v="0"/>
    <n v="33"/>
    <x v="0"/>
    <s v="FACE"/>
    <x v="0"/>
    <s v="T4"/>
    <x v="6"/>
    <x v="3"/>
    <n v="1"/>
    <n v="15.3"/>
    <n v="17"/>
    <n v="15.5"/>
    <n v="15.933333333333332"/>
    <n v="78"/>
    <n v="8"/>
    <s v="Aprovado"/>
    <s v="Maputo"/>
    <s v="Sofala"/>
    <s v="Sim"/>
    <n v="2022"/>
    <s v="Pós"/>
    <s v="Noite"/>
    <s v="Ativo"/>
  </r>
  <r>
    <n v="82"/>
    <s v="Est 82"/>
    <x v="1"/>
    <n v="32"/>
    <x v="2"/>
    <s v="FACE"/>
    <x v="3"/>
    <s v="T2"/>
    <x v="10"/>
    <x v="3"/>
    <n v="2"/>
    <n v="12.4"/>
    <n v="8.8000000000000007"/>
    <n v="14.5"/>
    <n v="11.9"/>
    <n v="95"/>
    <n v="6"/>
    <s v="Aprovado"/>
    <s v="Beira"/>
    <s v="Maputo"/>
    <s v="Não"/>
    <n v="2024"/>
    <s v="Laboral"/>
    <s v="Noite"/>
    <s v="Ativo"/>
  </r>
  <r>
    <n v="83"/>
    <s v="Est 83"/>
    <x v="0"/>
    <n v="34"/>
    <x v="0"/>
    <s v="FACE"/>
    <x v="2"/>
    <s v="T4"/>
    <x v="4"/>
    <x v="0"/>
    <n v="1"/>
    <n v="8.1"/>
    <n v="14.6"/>
    <n v="10.1"/>
    <n v="10.933333333333332"/>
    <n v="76"/>
    <n v="8"/>
    <s v="Aprovado"/>
    <s v="Beira"/>
    <s v="Nampula"/>
    <s v="Sim"/>
    <n v="2024"/>
    <s v="Pós"/>
    <s v="Noite"/>
    <s v="Ativo"/>
  </r>
  <r>
    <n v="84"/>
    <s v="Est 84"/>
    <x v="1"/>
    <n v="20"/>
    <x v="1"/>
    <s v="FACE"/>
    <x v="1"/>
    <s v="T2"/>
    <x v="0"/>
    <x v="0"/>
    <n v="1"/>
    <n v="10.5"/>
    <n v="17.600000000000001"/>
    <n v="18.2"/>
    <n v="15.433333333333332"/>
    <n v="87"/>
    <n v="6"/>
    <s v="Aprovado"/>
    <s v="Nampula"/>
    <s v="Nampula"/>
    <s v="Não"/>
    <n v="2026"/>
    <s v="Laboral"/>
    <s v="Noite"/>
    <s v="Ativo"/>
  </r>
  <r>
    <n v="85"/>
    <s v="Est 85"/>
    <x v="1"/>
    <n v="27"/>
    <x v="2"/>
    <s v="FACE"/>
    <x v="1"/>
    <s v="T2"/>
    <x v="8"/>
    <x v="2"/>
    <n v="2"/>
    <n v="9.5"/>
    <n v="8.4"/>
    <n v="14.7"/>
    <n v="10.866666666666665"/>
    <n v="91"/>
    <n v="6"/>
    <s v="Aprovado"/>
    <s v="Nampula"/>
    <s v="Sofala"/>
    <s v="Sim"/>
    <n v="2022"/>
    <s v="Laboral"/>
    <s v="Manhã"/>
    <s v="Ativo"/>
  </r>
  <r>
    <n v="86"/>
    <s v="Est 86"/>
    <x v="0"/>
    <n v="28"/>
    <x v="0"/>
    <s v="FACE"/>
    <x v="3"/>
    <s v="T2"/>
    <x v="11"/>
    <x v="3"/>
    <n v="1"/>
    <n v="15.9"/>
    <n v="15.4"/>
    <n v="16.600000000000001"/>
    <n v="15.966666666666669"/>
    <n v="89"/>
    <n v="5"/>
    <s v="Aprovado"/>
    <s v="Nampula"/>
    <s v="Nampula"/>
    <s v="Não"/>
    <n v="2025"/>
    <s v="Laboral"/>
    <s v="Manhã"/>
    <s v="Ativo"/>
  </r>
  <r>
    <n v="87"/>
    <s v="Est 87"/>
    <x v="0"/>
    <n v="18"/>
    <x v="2"/>
    <s v="FACE"/>
    <x v="3"/>
    <s v="T1"/>
    <x v="5"/>
    <x v="0"/>
    <n v="1"/>
    <n v="11.9"/>
    <n v="13.7"/>
    <n v="9.9"/>
    <n v="11.833333333333334"/>
    <n v="74"/>
    <n v="7"/>
    <s v="Aprovado"/>
    <s v="Nampula"/>
    <s v="Maputo"/>
    <s v="Não"/>
    <n v="2025"/>
    <s v="Laboral"/>
    <s v="Noite"/>
    <s v="Ativo"/>
  </r>
  <r>
    <n v="88"/>
    <s v="Est 88"/>
    <x v="1"/>
    <n v="24"/>
    <x v="0"/>
    <s v="FACE"/>
    <x v="0"/>
    <s v="T1"/>
    <x v="5"/>
    <x v="0"/>
    <n v="2"/>
    <n v="10.1"/>
    <n v="15.7"/>
    <n v="17.399999999999999"/>
    <n v="14.399999999999999"/>
    <n v="78"/>
    <n v="5"/>
    <s v="Aprovado"/>
    <s v="Beira"/>
    <s v="Nampula"/>
    <s v="Sim"/>
    <n v="2022"/>
    <s v="Pós"/>
    <s v="Noite"/>
    <s v="Ativo"/>
  </r>
  <r>
    <n v="89"/>
    <s v="Est 89"/>
    <x v="0"/>
    <n v="33"/>
    <x v="0"/>
    <s v="FACE"/>
    <x v="2"/>
    <s v="T3"/>
    <x v="4"/>
    <x v="11"/>
    <n v="2"/>
    <n v="15.3"/>
    <n v="14"/>
    <n v="12.2"/>
    <n v="13.833333333333334"/>
    <n v="66"/>
    <n v="6"/>
    <s v="Aprovado"/>
    <s v="Maputo"/>
    <s v="Sofala"/>
    <s v="Não"/>
    <n v="2024"/>
    <s v="Laboral"/>
    <s v="Noite"/>
    <s v="Ativo"/>
  </r>
  <r>
    <n v="90"/>
    <s v="Est 90"/>
    <x v="0"/>
    <n v="31"/>
    <x v="1"/>
    <s v="FACE"/>
    <x v="2"/>
    <s v="T3"/>
    <x v="10"/>
    <x v="5"/>
    <n v="1"/>
    <n v="11.3"/>
    <n v="14.5"/>
    <n v="14.3"/>
    <n v="13.366666666666667"/>
    <n v="79"/>
    <n v="7"/>
    <s v="Aprovado"/>
    <s v="Nampula"/>
    <s v="Maputo"/>
    <s v="Não"/>
    <n v="2023"/>
    <s v="Pós"/>
    <s v="Noite"/>
    <s v="Ativo"/>
  </r>
  <r>
    <n v="91"/>
    <s v="Est 91"/>
    <x v="1"/>
    <n v="19"/>
    <x v="1"/>
    <s v="FACE"/>
    <x v="2"/>
    <s v="T3"/>
    <x v="0"/>
    <x v="4"/>
    <n v="2"/>
    <n v="14"/>
    <n v="14.5"/>
    <n v="19.8"/>
    <n v="16.099999999999998"/>
    <n v="63"/>
    <n v="6"/>
    <s v="Aprovado"/>
    <s v="Nampula"/>
    <s v="Nampula"/>
    <s v="Não"/>
    <n v="2026"/>
    <s v="Laboral"/>
    <s v="Manhã"/>
    <s v="Ativo"/>
  </r>
  <r>
    <n v="92"/>
    <s v="Est 92"/>
    <x v="0"/>
    <n v="28"/>
    <x v="2"/>
    <s v="FACE"/>
    <x v="3"/>
    <s v="T1"/>
    <x v="7"/>
    <x v="5"/>
    <n v="1"/>
    <n v="9.4"/>
    <n v="17.100000000000001"/>
    <n v="16.399999999999999"/>
    <n v="14.299999999999999"/>
    <n v="83"/>
    <n v="6"/>
    <s v="Aprovado"/>
    <s v="Nampula"/>
    <s v="Maputo"/>
    <s v="Não"/>
    <n v="2024"/>
    <s v="Laboral"/>
    <s v="Noite"/>
    <s v="Ativo"/>
  </r>
  <r>
    <n v="93"/>
    <s v="Est 93"/>
    <x v="0"/>
    <n v="30"/>
    <x v="2"/>
    <s v="FACE"/>
    <x v="2"/>
    <s v="T4"/>
    <x v="6"/>
    <x v="11"/>
    <n v="1"/>
    <n v="13.1"/>
    <n v="9.9"/>
    <n v="14.7"/>
    <n v="12.566666666666668"/>
    <n v="88"/>
    <n v="4"/>
    <s v="Aprovado"/>
    <s v="Maputo"/>
    <s v="Maputo"/>
    <s v="Sim"/>
    <n v="2024"/>
    <s v="Pós"/>
    <s v="Noite"/>
    <s v="Ativo"/>
  </r>
  <r>
    <n v="94"/>
    <s v="Est 94"/>
    <x v="1"/>
    <n v="34"/>
    <x v="2"/>
    <s v="FACE"/>
    <x v="2"/>
    <s v="T3"/>
    <x v="0"/>
    <x v="4"/>
    <n v="1"/>
    <n v="14.8"/>
    <n v="9.1999999999999993"/>
    <n v="8.1999999999999993"/>
    <n v="10.733333333333334"/>
    <n v="68"/>
    <n v="7"/>
    <s v="Aprovado"/>
    <s v="Beira"/>
    <s v="Maputo"/>
    <s v="Não"/>
    <n v="2022"/>
    <s v="Pós"/>
    <s v="Noite"/>
    <s v="Ativo"/>
  </r>
  <r>
    <n v="95"/>
    <s v="Est 95"/>
    <x v="1"/>
    <n v="18"/>
    <x v="1"/>
    <s v="FACE"/>
    <x v="3"/>
    <s v="T2"/>
    <x v="9"/>
    <x v="3"/>
    <n v="2"/>
    <n v="10.6"/>
    <n v="17.7"/>
    <n v="19.8"/>
    <n v="16.033333333333331"/>
    <n v="64"/>
    <n v="6"/>
    <s v="Aprovado"/>
    <s v="Beira"/>
    <s v="Nampula"/>
    <s v="Não"/>
    <n v="2022"/>
    <s v="Laboral"/>
    <s v="Noite"/>
    <s v="Ativo"/>
  </r>
  <r>
    <n v="96"/>
    <s v="Est 96"/>
    <x v="0"/>
    <n v="24"/>
    <x v="2"/>
    <s v="FACE"/>
    <x v="3"/>
    <s v="T2"/>
    <x v="7"/>
    <x v="12"/>
    <n v="2"/>
    <n v="12.4"/>
    <n v="13.2"/>
    <n v="19.3"/>
    <n v="14.966666666666669"/>
    <n v="68"/>
    <n v="8"/>
    <s v="Aprovado"/>
    <s v="Beira"/>
    <s v="Nampula"/>
    <s v="Sim"/>
    <n v="2022"/>
    <s v="Laboral"/>
    <s v="Noite"/>
    <s v="Ativo"/>
  </r>
  <r>
    <n v="97"/>
    <s v="Est 97"/>
    <x v="1"/>
    <n v="26"/>
    <x v="2"/>
    <s v="FACE"/>
    <x v="0"/>
    <s v="T3"/>
    <x v="8"/>
    <x v="10"/>
    <n v="2"/>
    <n v="16.600000000000001"/>
    <n v="9.1999999999999993"/>
    <n v="8.4"/>
    <n v="11.4"/>
    <n v="86"/>
    <n v="6"/>
    <s v="Aprovado"/>
    <s v="Nampula"/>
    <s v="Sofala"/>
    <s v="Não"/>
    <n v="2023"/>
    <s v="Pós"/>
    <s v="Noite"/>
    <s v="Ativo"/>
  </r>
  <r>
    <n v="98"/>
    <s v="Est 98"/>
    <x v="1"/>
    <n v="25"/>
    <x v="2"/>
    <s v="FACE"/>
    <x v="3"/>
    <s v="T3"/>
    <x v="6"/>
    <x v="4"/>
    <n v="2"/>
    <n v="11.9"/>
    <n v="13.3"/>
    <n v="11.7"/>
    <n v="12.300000000000002"/>
    <n v="83"/>
    <n v="7"/>
    <s v="Aprovado"/>
    <s v="Nampula"/>
    <s v="Nampula"/>
    <s v="Sim"/>
    <n v="2023"/>
    <s v="Laboral"/>
    <s v="Manhã"/>
    <s v="Ativo"/>
  </r>
  <r>
    <n v="99"/>
    <s v="Est 99"/>
    <x v="0"/>
    <n v="21"/>
    <x v="1"/>
    <s v="FACE"/>
    <x v="1"/>
    <s v="T3"/>
    <x v="10"/>
    <x v="8"/>
    <n v="1"/>
    <n v="15.2"/>
    <n v="10"/>
    <n v="15.1"/>
    <n v="13.433333333333332"/>
    <n v="64"/>
    <n v="7"/>
    <s v="Aprovado"/>
    <s v="Maputo"/>
    <s v="Sofala"/>
    <s v="Não"/>
    <n v="2023"/>
    <s v="Pós"/>
    <s v="Noite"/>
    <s v="Ativo"/>
  </r>
  <r>
    <n v="100"/>
    <s v="Est 100"/>
    <x v="1"/>
    <n v="29"/>
    <x v="2"/>
    <s v="FACE"/>
    <x v="2"/>
    <s v="T2"/>
    <x v="4"/>
    <x v="8"/>
    <n v="1"/>
    <n v="16.5"/>
    <n v="14.3"/>
    <n v="19.899999999999999"/>
    <n v="16.900000000000002"/>
    <n v="99"/>
    <n v="4"/>
    <s v="Aprovado"/>
    <s v="Beira"/>
    <s v="Maputo"/>
    <s v="Sim"/>
    <n v="2023"/>
    <s v="Pós"/>
    <s v="Manhã"/>
    <s v="Ativo"/>
  </r>
  <r>
    <n v="101"/>
    <s v="Est 101"/>
    <x v="1"/>
    <n v="18"/>
    <x v="2"/>
    <s v="FACE"/>
    <x v="2"/>
    <s v="T1"/>
    <x v="11"/>
    <x v="14"/>
    <n v="1"/>
    <n v="9.1999999999999993"/>
    <n v="15.6"/>
    <n v="15.6"/>
    <n v="13.466666666666667"/>
    <n v="67"/>
    <n v="4"/>
    <s v="Aprovado"/>
    <s v="Beira"/>
    <s v="Nampula"/>
    <s v="Não"/>
    <n v="2022"/>
    <s v="Laboral"/>
    <s v="Manhã"/>
    <s v="Ativo"/>
  </r>
  <r>
    <n v="102"/>
    <s v="Est 102"/>
    <x v="1"/>
    <n v="28"/>
    <x v="2"/>
    <s v="FACE"/>
    <x v="0"/>
    <s v="T3"/>
    <x v="10"/>
    <x v="7"/>
    <n v="1"/>
    <n v="11.6"/>
    <n v="14.2"/>
    <n v="13"/>
    <n v="12.933333333333332"/>
    <n v="76"/>
    <n v="4"/>
    <s v="Aprovado"/>
    <s v="Maputo"/>
    <s v="Nampula"/>
    <s v="Sim"/>
    <n v="2023"/>
    <s v="Pós"/>
    <s v="Manhã"/>
    <s v="Ativo"/>
  </r>
  <r>
    <n v="103"/>
    <s v="Est 103"/>
    <x v="0"/>
    <n v="34"/>
    <x v="0"/>
    <s v="FACE"/>
    <x v="3"/>
    <s v="T2"/>
    <x v="8"/>
    <x v="2"/>
    <n v="1"/>
    <n v="15.6"/>
    <n v="11.6"/>
    <n v="19.600000000000001"/>
    <n v="15.6"/>
    <n v="98"/>
    <n v="4"/>
    <s v="Aprovado"/>
    <s v="Nampula"/>
    <s v="Sofala"/>
    <s v="Sim"/>
    <n v="2024"/>
    <s v="Laboral"/>
    <s v="Noite"/>
    <s v="Ativo"/>
  </r>
  <r>
    <n v="104"/>
    <s v="Est 104"/>
    <x v="1"/>
    <n v="23"/>
    <x v="0"/>
    <s v="FACE"/>
    <x v="1"/>
    <s v="T3"/>
    <x v="10"/>
    <x v="11"/>
    <n v="1"/>
    <n v="10"/>
    <n v="13.5"/>
    <n v="14.2"/>
    <n v="12.566666666666668"/>
    <n v="66"/>
    <n v="5"/>
    <s v="Aprovado"/>
    <s v="Nampula"/>
    <s v="Nampula"/>
    <s v="Sim"/>
    <n v="2025"/>
    <s v="Laboral"/>
    <s v="Manhã"/>
    <s v="Ativo"/>
  </r>
  <r>
    <n v="105"/>
    <s v="Est 105"/>
    <x v="1"/>
    <n v="29"/>
    <x v="2"/>
    <s v="FACE"/>
    <x v="1"/>
    <s v="T4"/>
    <x v="6"/>
    <x v="7"/>
    <n v="2"/>
    <n v="12.1"/>
    <n v="17"/>
    <n v="19.399999999999999"/>
    <n v="16.166666666666668"/>
    <n v="97"/>
    <n v="6"/>
    <s v="Aprovado"/>
    <s v="Maputo"/>
    <s v="Maputo"/>
    <s v="Sim"/>
    <n v="2024"/>
    <s v="Laboral"/>
    <s v="Noite"/>
    <s v="Ativo"/>
  </r>
  <r>
    <n v="106"/>
    <s v="Est 106"/>
    <x v="0"/>
    <n v="21"/>
    <x v="2"/>
    <s v="FACE"/>
    <x v="1"/>
    <s v="T4"/>
    <x v="8"/>
    <x v="10"/>
    <n v="2"/>
    <n v="9.5"/>
    <n v="16.899999999999999"/>
    <n v="13.4"/>
    <n v="13.266666666666666"/>
    <n v="85"/>
    <n v="4"/>
    <s v="Aprovado"/>
    <s v="Nampula"/>
    <s v="Maputo"/>
    <s v="Sim"/>
    <n v="2023"/>
    <s v="Laboral"/>
    <s v="Manhã"/>
    <s v="Ativo"/>
  </r>
  <r>
    <n v="107"/>
    <s v="Est 107"/>
    <x v="0"/>
    <n v="28"/>
    <x v="1"/>
    <s v="FACE"/>
    <x v="1"/>
    <s v="T3"/>
    <x v="6"/>
    <x v="0"/>
    <n v="2"/>
    <n v="11.1"/>
    <n v="14.7"/>
    <n v="14.5"/>
    <n v="13.433333333333332"/>
    <n v="85"/>
    <n v="6"/>
    <s v="Aprovado"/>
    <s v="Maputo"/>
    <s v="Sofala"/>
    <s v="Não"/>
    <n v="2026"/>
    <s v="Pós"/>
    <s v="Manhã"/>
    <s v="Ativo"/>
  </r>
  <r>
    <n v="108"/>
    <s v="Est 108"/>
    <x v="1"/>
    <n v="26"/>
    <x v="0"/>
    <s v="FACE"/>
    <x v="3"/>
    <s v="T2"/>
    <x v="4"/>
    <x v="10"/>
    <n v="1"/>
    <n v="14.7"/>
    <n v="13.3"/>
    <n v="9.8000000000000007"/>
    <n v="12.6"/>
    <n v="89"/>
    <n v="8"/>
    <s v="Aprovado"/>
    <s v="Maputo"/>
    <s v="Maputo"/>
    <s v="Não"/>
    <n v="2022"/>
    <s v="Laboral"/>
    <s v="Noite"/>
    <s v="Ativo"/>
  </r>
  <r>
    <n v="109"/>
    <s v="Est 109"/>
    <x v="1"/>
    <n v="28"/>
    <x v="2"/>
    <s v="FACE"/>
    <x v="1"/>
    <s v="T3"/>
    <x v="7"/>
    <x v="3"/>
    <n v="1"/>
    <n v="17.3"/>
    <n v="13.6"/>
    <n v="12"/>
    <n v="14.299999999999999"/>
    <n v="78"/>
    <n v="5"/>
    <s v="Aprovado"/>
    <s v="Beira"/>
    <s v="Sofala"/>
    <s v="Sim"/>
    <n v="2024"/>
    <s v="Laboral"/>
    <s v="Manhã"/>
    <s v="Ativo"/>
  </r>
  <r>
    <n v="110"/>
    <s v="Est 110"/>
    <x v="0"/>
    <n v="27"/>
    <x v="0"/>
    <s v="FACE"/>
    <x v="3"/>
    <s v="T1"/>
    <x v="3"/>
    <x v="3"/>
    <n v="2"/>
    <n v="12.3"/>
    <n v="10.6"/>
    <n v="9.1"/>
    <n v="10.666666666666666"/>
    <n v="73"/>
    <n v="4"/>
    <s v="Aprovado"/>
    <s v="Beira"/>
    <s v="Maputo"/>
    <s v="Não"/>
    <n v="2023"/>
    <s v="Laboral"/>
    <s v="Noite"/>
    <s v="Ativo"/>
  </r>
  <r>
    <n v="111"/>
    <s v="Est 111"/>
    <x v="0"/>
    <n v="24"/>
    <x v="0"/>
    <s v="FACE"/>
    <x v="0"/>
    <s v="T3"/>
    <x v="8"/>
    <x v="6"/>
    <n v="1"/>
    <n v="17.5"/>
    <n v="16.5"/>
    <n v="12.3"/>
    <n v="15.433333333333332"/>
    <n v="66"/>
    <n v="5"/>
    <s v="Aprovado"/>
    <s v="Beira"/>
    <s v="Sofala"/>
    <s v="Sim"/>
    <n v="2025"/>
    <s v="Laboral"/>
    <s v="Noite"/>
    <s v="Ativo"/>
  </r>
  <r>
    <n v="112"/>
    <s v="Est 112"/>
    <x v="1"/>
    <n v="25"/>
    <x v="0"/>
    <s v="FACE"/>
    <x v="0"/>
    <s v="T2"/>
    <x v="4"/>
    <x v="8"/>
    <n v="2"/>
    <n v="8.5"/>
    <n v="12.5"/>
    <n v="11.4"/>
    <n v="10.799999999999999"/>
    <n v="80"/>
    <n v="5"/>
    <s v="Aprovado"/>
    <s v="Beira"/>
    <s v="Nampula"/>
    <s v="Sim"/>
    <n v="2023"/>
    <s v="Pós"/>
    <s v="Manhã"/>
    <s v="Ativo"/>
  </r>
  <r>
    <n v="113"/>
    <s v="Est 113"/>
    <x v="0"/>
    <n v="28"/>
    <x v="2"/>
    <s v="FACE"/>
    <x v="3"/>
    <s v="T3"/>
    <x v="6"/>
    <x v="10"/>
    <n v="2"/>
    <n v="8"/>
    <n v="14.2"/>
    <n v="16.600000000000001"/>
    <n v="12.933333333333332"/>
    <n v="79"/>
    <n v="5"/>
    <s v="Aprovado"/>
    <s v="Beira"/>
    <s v="Nampula"/>
    <s v="Sim"/>
    <n v="2023"/>
    <s v="Pós"/>
    <s v="Manhã"/>
    <s v="Ativo"/>
  </r>
  <r>
    <n v="114"/>
    <s v="Est 114"/>
    <x v="0"/>
    <n v="22"/>
    <x v="0"/>
    <s v="FACE"/>
    <x v="0"/>
    <s v="T3"/>
    <x v="6"/>
    <x v="11"/>
    <n v="2"/>
    <n v="16.5"/>
    <n v="9"/>
    <n v="11.1"/>
    <n v="12.200000000000001"/>
    <n v="77"/>
    <n v="5"/>
    <s v="Aprovado"/>
    <s v="Beira"/>
    <s v="Sofala"/>
    <s v="Sim"/>
    <n v="2024"/>
    <s v="Pós"/>
    <s v="Manhã"/>
    <s v="Ativo"/>
  </r>
  <r>
    <n v="115"/>
    <s v="Est 115"/>
    <x v="0"/>
    <n v="25"/>
    <x v="1"/>
    <s v="FACE"/>
    <x v="2"/>
    <s v="T4"/>
    <x v="3"/>
    <x v="6"/>
    <n v="2"/>
    <n v="12.6"/>
    <n v="16.899999999999999"/>
    <n v="12.4"/>
    <n v="13.966666666666667"/>
    <n v="70"/>
    <n v="5"/>
    <s v="Aprovado"/>
    <s v="Nampula"/>
    <s v="Sofala"/>
    <s v="Não"/>
    <n v="2022"/>
    <s v="Laboral"/>
    <s v="Manhã"/>
    <s v="Ativo"/>
  </r>
  <r>
    <n v="116"/>
    <s v="Est 116"/>
    <x v="1"/>
    <n v="34"/>
    <x v="1"/>
    <s v="FACE"/>
    <x v="2"/>
    <s v="T4"/>
    <x v="3"/>
    <x v="12"/>
    <n v="1"/>
    <n v="13.7"/>
    <n v="12.9"/>
    <n v="8.5"/>
    <n v="11.700000000000001"/>
    <n v="65"/>
    <n v="7"/>
    <s v="Aprovado"/>
    <s v="Maputo"/>
    <s v="Maputo"/>
    <s v="Sim"/>
    <n v="2026"/>
    <s v="Laboral"/>
    <s v="Manhã"/>
    <s v="Ativo"/>
  </r>
  <r>
    <n v="117"/>
    <s v="Est 117"/>
    <x v="0"/>
    <n v="27"/>
    <x v="2"/>
    <s v="FACE"/>
    <x v="2"/>
    <s v="T3"/>
    <x v="4"/>
    <x v="10"/>
    <n v="2"/>
    <n v="11.9"/>
    <n v="13.8"/>
    <n v="14"/>
    <n v="13.233333333333334"/>
    <n v="77"/>
    <n v="4"/>
    <s v="Aprovado"/>
    <s v="Maputo"/>
    <s v="Sofala"/>
    <s v="Sim"/>
    <n v="2024"/>
    <s v="Laboral"/>
    <s v="Noite"/>
    <s v="Ativo"/>
  </r>
  <r>
    <n v="118"/>
    <s v="Est 118"/>
    <x v="0"/>
    <n v="29"/>
    <x v="0"/>
    <s v="FACE"/>
    <x v="2"/>
    <s v="T3"/>
    <x v="1"/>
    <x v="2"/>
    <n v="2"/>
    <n v="8.5"/>
    <n v="11.8"/>
    <n v="8.4"/>
    <n v="9.5666666666666682"/>
    <n v="70"/>
    <n v="5"/>
    <s v="Reprovado"/>
    <s v="Nampula"/>
    <s v="Sofala"/>
    <s v="Não"/>
    <n v="2022"/>
    <s v="Laboral"/>
    <s v="Manhã"/>
    <s v="Ativo"/>
  </r>
  <r>
    <n v="119"/>
    <s v="Est 119"/>
    <x v="1"/>
    <n v="26"/>
    <x v="1"/>
    <s v="FACE"/>
    <x v="1"/>
    <s v="T2"/>
    <x v="0"/>
    <x v="2"/>
    <n v="2"/>
    <n v="13.9"/>
    <n v="12.3"/>
    <n v="13.3"/>
    <n v="13.166666666666666"/>
    <n v="98"/>
    <n v="4"/>
    <s v="Aprovado"/>
    <s v="Nampula"/>
    <s v="Sofala"/>
    <s v="Sim"/>
    <n v="2023"/>
    <s v="Pós"/>
    <s v="Manhã"/>
    <s v="Ativo"/>
  </r>
  <r>
    <n v="120"/>
    <s v="Est 120"/>
    <x v="1"/>
    <n v="24"/>
    <x v="0"/>
    <s v="FACE"/>
    <x v="0"/>
    <s v="T2"/>
    <x v="10"/>
    <x v="7"/>
    <n v="2"/>
    <n v="17.899999999999999"/>
    <n v="11.9"/>
    <n v="10.3"/>
    <n v="13.366666666666665"/>
    <n v="76"/>
    <n v="8"/>
    <s v="Aprovado"/>
    <s v="Nampula"/>
    <s v="Sofala"/>
    <s v="Sim"/>
    <n v="2026"/>
    <s v="Pós"/>
    <s v="Manhã"/>
    <s v="Ativo"/>
  </r>
  <r>
    <n v="121"/>
    <s v="Est 121"/>
    <x v="0"/>
    <n v="34"/>
    <x v="2"/>
    <s v="FACE"/>
    <x v="1"/>
    <s v="T2"/>
    <x v="9"/>
    <x v="10"/>
    <n v="2"/>
    <n v="13.5"/>
    <n v="15.1"/>
    <n v="14.5"/>
    <n v="14.366666666666667"/>
    <n v="66"/>
    <n v="4"/>
    <s v="Aprovado"/>
    <s v="Nampula"/>
    <s v="Maputo"/>
    <s v="Sim"/>
    <n v="2025"/>
    <s v="Laboral"/>
    <s v="Manhã"/>
    <s v="Ativo"/>
  </r>
  <r>
    <n v="122"/>
    <s v="Est 122"/>
    <x v="1"/>
    <n v="19"/>
    <x v="1"/>
    <s v="FACE"/>
    <x v="3"/>
    <s v="T1"/>
    <x v="7"/>
    <x v="8"/>
    <n v="2"/>
    <n v="9.8000000000000007"/>
    <n v="9.4"/>
    <n v="19.3"/>
    <n v="12.833333333333334"/>
    <n v="90"/>
    <n v="4"/>
    <s v="Aprovado"/>
    <s v="Maputo"/>
    <s v="Maputo"/>
    <s v="Não"/>
    <n v="2023"/>
    <s v="Pós"/>
    <s v="Noite"/>
    <s v="Ativo"/>
  </r>
  <r>
    <n v="123"/>
    <s v="Est 123"/>
    <x v="0"/>
    <n v="21"/>
    <x v="2"/>
    <s v="FACE"/>
    <x v="0"/>
    <s v="T1"/>
    <x v="10"/>
    <x v="11"/>
    <n v="1"/>
    <n v="15.9"/>
    <n v="8.9"/>
    <n v="10.3"/>
    <n v="11.700000000000001"/>
    <n v="74"/>
    <n v="4"/>
    <s v="Aprovado"/>
    <s v="Nampula"/>
    <s v="Nampula"/>
    <s v="Sim"/>
    <n v="2025"/>
    <s v="Pós"/>
    <s v="Noite"/>
    <s v="Ativo"/>
  </r>
  <r>
    <n v="124"/>
    <s v="Est 124"/>
    <x v="1"/>
    <n v="23"/>
    <x v="1"/>
    <s v="FACE"/>
    <x v="0"/>
    <s v="T3"/>
    <x v="3"/>
    <x v="6"/>
    <n v="2"/>
    <n v="13.4"/>
    <n v="15"/>
    <n v="16.3"/>
    <n v="14.9"/>
    <n v="62"/>
    <n v="8"/>
    <s v="Aprovado"/>
    <s v="Beira"/>
    <s v="Sofala"/>
    <s v="Sim"/>
    <n v="2022"/>
    <s v="Laboral"/>
    <s v="Manhã"/>
    <s v="Ativo"/>
  </r>
  <r>
    <n v="125"/>
    <s v="Est 125"/>
    <x v="0"/>
    <n v="35"/>
    <x v="2"/>
    <s v="FACE"/>
    <x v="2"/>
    <s v="T2"/>
    <x v="2"/>
    <x v="5"/>
    <n v="2"/>
    <n v="9.5"/>
    <n v="8.4"/>
    <n v="16.600000000000001"/>
    <n v="11.5"/>
    <n v="79"/>
    <n v="5"/>
    <s v="Aprovado"/>
    <s v="Beira"/>
    <s v="Nampula"/>
    <s v="Não"/>
    <n v="2024"/>
    <s v="Laboral"/>
    <s v="Manhã"/>
    <s v="Ativo"/>
  </r>
  <r>
    <n v="126"/>
    <s v="Est 126"/>
    <x v="0"/>
    <n v="32"/>
    <x v="2"/>
    <s v="FACE"/>
    <x v="2"/>
    <s v="T3"/>
    <x v="2"/>
    <x v="0"/>
    <n v="2"/>
    <n v="16.899999999999999"/>
    <n v="11.9"/>
    <n v="13.3"/>
    <n v="14.033333333333331"/>
    <n v="90"/>
    <n v="5"/>
    <s v="Aprovado"/>
    <s v="Beira"/>
    <s v="Sofala"/>
    <s v="Não"/>
    <n v="2025"/>
    <s v="Pós"/>
    <s v="Noite"/>
    <s v="Ativo"/>
  </r>
  <r>
    <n v="127"/>
    <s v="Est 127"/>
    <x v="0"/>
    <n v="18"/>
    <x v="0"/>
    <s v="FACE"/>
    <x v="3"/>
    <s v="T3"/>
    <x v="2"/>
    <x v="8"/>
    <n v="1"/>
    <n v="8.6"/>
    <n v="12.9"/>
    <n v="18.3"/>
    <n v="13.266666666666666"/>
    <n v="90"/>
    <n v="4"/>
    <s v="Aprovado"/>
    <s v="Maputo"/>
    <s v="Nampula"/>
    <s v="Sim"/>
    <n v="2022"/>
    <s v="Pós"/>
    <s v="Manhã"/>
    <s v="Ativo"/>
  </r>
  <r>
    <n v="128"/>
    <s v="Est 128"/>
    <x v="0"/>
    <n v="24"/>
    <x v="2"/>
    <s v="FACE"/>
    <x v="0"/>
    <s v="T1"/>
    <x v="7"/>
    <x v="10"/>
    <n v="1"/>
    <n v="10.4"/>
    <n v="8.4"/>
    <n v="10.6"/>
    <n v="9.7999999999999989"/>
    <n v="88"/>
    <n v="4"/>
    <s v="Reprovado"/>
    <s v="Beira"/>
    <s v="Nampula"/>
    <s v="Não"/>
    <n v="2023"/>
    <s v="Pós"/>
    <s v="Noite"/>
    <s v="Ativo"/>
  </r>
  <r>
    <n v="129"/>
    <s v="Est 129"/>
    <x v="1"/>
    <n v="22"/>
    <x v="2"/>
    <s v="FACE"/>
    <x v="0"/>
    <s v="T1"/>
    <x v="6"/>
    <x v="0"/>
    <n v="2"/>
    <n v="17.100000000000001"/>
    <n v="17.2"/>
    <n v="17.3"/>
    <n v="17.2"/>
    <n v="60"/>
    <n v="7"/>
    <s v="Aprovado"/>
    <s v="Maputo"/>
    <s v="Nampula"/>
    <s v="Sim"/>
    <n v="2025"/>
    <s v="Laboral"/>
    <s v="Noite"/>
    <s v="Ativo"/>
  </r>
  <r>
    <n v="130"/>
    <s v="Est 130"/>
    <x v="1"/>
    <n v="25"/>
    <x v="0"/>
    <s v="FACE"/>
    <x v="0"/>
    <s v="T1"/>
    <x v="4"/>
    <x v="0"/>
    <n v="2"/>
    <n v="9.6999999999999993"/>
    <n v="16.399999999999999"/>
    <n v="14.8"/>
    <n v="13.633333333333333"/>
    <n v="63"/>
    <n v="6"/>
    <s v="Aprovado"/>
    <s v="Maputo"/>
    <s v="Sofala"/>
    <s v="Não"/>
    <n v="2026"/>
    <s v="Pós"/>
    <s v="Manhã"/>
    <s v="Ativo"/>
  </r>
  <r>
    <n v="131"/>
    <s v="Est 131"/>
    <x v="1"/>
    <n v="19"/>
    <x v="0"/>
    <s v="FACE"/>
    <x v="0"/>
    <s v="T2"/>
    <x v="7"/>
    <x v="1"/>
    <n v="2"/>
    <n v="13.8"/>
    <n v="11.5"/>
    <n v="12.8"/>
    <n v="12.700000000000001"/>
    <n v="66"/>
    <n v="4"/>
    <s v="Aprovado"/>
    <s v="Maputo"/>
    <s v="Maputo"/>
    <s v="Sim"/>
    <n v="2022"/>
    <s v="Laboral"/>
    <s v="Manhã"/>
    <s v="Ativo"/>
  </r>
  <r>
    <n v="132"/>
    <s v="Est 132"/>
    <x v="0"/>
    <n v="29"/>
    <x v="1"/>
    <s v="FACE"/>
    <x v="0"/>
    <s v="T3"/>
    <x v="0"/>
    <x v="13"/>
    <n v="1"/>
    <n v="15.3"/>
    <n v="17.100000000000001"/>
    <n v="12.9"/>
    <n v="15.100000000000001"/>
    <n v="97"/>
    <n v="8"/>
    <s v="Aprovado"/>
    <s v="Maputo"/>
    <s v="Sofala"/>
    <s v="Não"/>
    <n v="2024"/>
    <s v="Laboral"/>
    <s v="Noite"/>
    <s v="Ativo"/>
  </r>
  <r>
    <n v="133"/>
    <s v="Est 133"/>
    <x v="1"/>
    <n v="24"/>
    <x v="1"/>
    <s v="FACE"/>
    <x v="0"/>
    <s v="T2"/>
    <x v="1"/>
    <x v="10"/>
    <n v="2"/>
    <n v="11.3"/>
    <n v="11.1"/>
    <n v="15.5"/>
    <n v="12.633333333333333"/>
    <n v="90"/>
    <n v="4"/>
    <s v="Aprovado"/>
    <s v="Nampula"/>
    <s v="Nampula"/>
    <s v="Sim"/>
    <n v="2023"/>
    <s v="Laboral"/>
    <s v="Manhã"/>
    <s v="Ativo"/>
  </r>
  <r>
    <n v="134"/>
    <s v="Est 134"/>
    <x v="1"/>
    <n v="20"/>
    <x v="0"/>
    <s v="FACE"/>
    <x v="3"/>
    <s v="T1"/>
    <x v="6"/>
    <x v="12"/>
    <n v="2"/>
    <n v="15.6"/>
    <n v="11.2"/>
    <n v="17.3"/>
    <n v="14.699999999999998"/>
    <n v="87"/>
    <n v="4"/>
    <s v="Aprovado"/>
    <s v="Beira"/>
    <s v="Nampula"/>
    <s v="Sim"/>
    <n v="2022"/>
    <s v="Laboral"/>
    <s v="Manhã"/>
    <s v="Ativo"/>
  </r>
  <r>
    <n v="135"/>
    <s v="Est 135"/>
    <x v="0"/>
    <n v="20"/>
    <x v="0"/>
    <s v="FACE"/>
    <x v="0"/>
    <s v="T4"/>
    <x v="4"/>
    <x v="6"/>
    <n v="1"/>
    <n v="8.4"/>
    <n v="13.7"/>
    <n v="8.6999999999999993"/>
    <n v="10.266666666666667"/>
    <n v="80"/>
    <n v="6"/>
    <s v="Aprovado"/>
    <s v="Beira"/>
    <s v="Nampula"/>
    <s v="Sim"/>
    <n v="2025"/>
    <s v="Laboral"/>
    <s v="Noite"/>
    <s v="Ativo"/>
  </r>
  <r>
    <n v="136"/>
    <s v="Est 136"/>
    <x v="1"/>
    <n v="25"/>
    <x v="1"/>
    <s v="FACE"/>
    <x v="0"/>
    <s v="T1"/>
    <x v="8"/>
    <x v="4"/>
    <n v="1"/>
    <n v="10.3"/>
    <n v="16.8"/>
    <n v="18.3"/>
    <n v="15.133333333333335"/>
    <n v="100"/>
    <n v="6"/>
    <s v="Aprovado"/>
    <s v="Maputo"/>
    <s v="Sofala"/>
    <s v="Sim"/>
    <n v="2022"/>
    <s v="Pós"/>
    <s v="Manhã"/>
    <s v="Ativo"/>
  </r>
  <r>
    <n v="137"/>
    <s v="Est 137"/>
    <x v="0"/>
    <n v="18"/>
    <x v="0"/>
    <s v="FACE"/>
    <x v="2"/>
    <s v="T1"/>
    <x v="5"/>
    <x v="5"/>
    <n v="2"/>
    <n v="8.8000000000000007"/>
    <n v="17.100000000000001"/>
    <n v="18.5"/>
    <n v="14.800000000000002"/>
    <n v="90"/>
    <n v="7"/>
    <s v="Aprovado"/>
    <s v="Nampula"/>
    <s v="Sofala"/>
    <s v="Sim"/>
    <n v="2024"/>
    <s v="Laboral"/>
    <s v="Noite"/>
    <s v="Ativo"/>
  </r>
  <r>
    <n v="138"/>
    <s v="Est 138"/>
    <x v="1"/>
    <n v="27"/>
    <x v="1"/>
    <s v="FACE"/>
    <x v="2"/>
    <s v="T4"/>
    <x v="7"/>
    <x v="9"/>
    <n v="2"/>
    <n v="12.5"/>
    <n v="9.1999999999999993"/>
    <n v="19.3"/>
    <n v="13.666666666666666"/>
    <n v="81"/>
    <n v="7"/>
    <s v="Aprovado"/>
    <s v="Maputo"/>
    <s v="Maputo"/>
    <s v="Não"/>
    <n v="2026"/>
    <s v="Pós"/>
    <s v="Manhã"/>
    <s v="Ativo"/>
  </r>
  <r>
    <n v="139"/>
    <s v="Est 139"/>
    <x v="1"/>
    <n v="18"/>
    <x v="2"/>
    <s v="FACE"/>
    <x v="2"/>
    <s v="T3"/>
    <x v="4"/>
    <x v="3"/>
    <n v="2"/>
    <n v="10.6"/>
    <n v="16.399999999999999"/>
    <n v="12.3"/>
    <n v="13.1"/>
    <n v="84"/>
    <n v="8"/>
    <s v="Aprovado"/>
    <s v="Beira"/>
    <s v="Sofala"/>
    <s v="Não"/>
    <n v="2024"/>
    <s v="Laboral"/>
    <s v="Noite"/>
    <s v="Ativo"/>
  </r>
  <r>
    <n v="140"/>
    <s v="Est 140"/>
    <x v="1"/>
    <n v="32"/>
    <x v="2"/>
    <s v="FACE"/>
    <x v="2"/>
    <s v="T4"/>
    <x v="8"/>
    <x v="13"/>
    <n v="2"/>
    <n v="14.2"/>
    <n v="12"/>
    <n v="11"/>
    <n v="12.4"/>
    <n v="79"/>
    <n v="7"/>
    <s v="Aprovado"/>
    <s v="Maputo"/>
    <s v="Maputo"/>
    <s v="Não"/>
    <n v="2023"/>
    <s v="Pós"/>
    <s v="Manhã"/>
    <s v="Ativo"/>
  </r>
  <r>
    <n v="141"/>
    <s v="Est 141"/>
    <x v="1"/>
    <n v="35"/>
    <x v="0"/>
    <s v="FACE"/>
    <x v="0"/>
    <s v="T4"/>
    <x v="5"/>
    <x v="0"/>
    <n v="2"/>
    <n v="9.1"/>
    <n v="13.3"/>
    <n v="12.9"/>
    <n v="11.766666666666666"/>
    <n v="90"/>
    <n v="4"/>
    <s v="Aprovado"/>
    <s v="Maputo"/>
    <s v="Nampula"/>
    <s v="Sim"/>
    <n v="2023"/>
    <s v="Pós"/>
    <s v="Noite"/>
    <s v="Ativo"/>
  </r>
  <r>
    <n v="142"/>
    <s v="Est 142"/>
    <x v="1"/>
    <n v="18"/>
    <x v="2"/>
    <s v="FACE"/>
    <x v="2"/>
    <s v="T4"/>
    <x v="11"/>
    <x v="0"/>
    <n v="1"/>
    <n v="17.5"/>
    <n v="8.8000000000000007"/>
    <n v="13.3"/>
    <n v="13.200000000000001"/>
    <n v="68"/>
    <n v="8"/>
    <s v="Aprovado"/>
    <s v="Nampula"/>
    <s v="Nampula"/>
    <s v="Não"/>
    <n v="2024"/>
    <s v="Pós"/>
    <s v="Manhã"/>
    <s v="Ativo"/>
  </r>
  <r>
    <n v="143"/>
    <s v="Est 143"/>
    <x v="0"/>
    <n v="24"/>
    <x v="1"/>
    <s v="FACE"/>
    <x v="0"/>
    <s v="T3"/>
    <x v="6"/>
    <x v="2"/>
    <n v="2"/>
    <n v="17.399999999999999"/>
    <n v="16.3"/>
    <n v="11.4"/>
    <n v="15.033333333333333"/>
    <n v="65"/>
    <n v="5"/>
    <s v="Aprovado"/>
    <s v="Nampula"/>
    <s v="Maputo"/>
    <s v="Sim"/>
    <n v="2024"/>
    <s v="Pós"/>
    <s v="Manhã"/>
    <s v="Ativo"/>
  </r>
  <r>
    <n v="144"/>
    <s v="Est 144"/>
    <x v="0"/>
    <n v="22"/>
    <x v="0"/>
    <s v="FACE"/>
    <x v="2"/>
    <s v="T2"/>
    <x v="9"/>
    <x v="7"/>
    <n v="2"/>
    <n v="17.100000000000001"/>
    <n v="11.1"/>
    <n v="16.100000000000001"/>
    <n v="14.766666666666667"/>
    <n v="82"/>
    <n v="7"/>
    <s v="Aprovado"/>
    <s v="Maputo"/>
    <s v="Sofala"/>
    <s v="Não"/>
    <n v="2024"/>
    <s v="Pós"/>
    <s v="Manhã"/>
    <s v="Ativo"/>
  </r>
  <r>
    <n v="145"/>
    <s v="Est 145"/>
    <x v="0"/>
    <n v="21"/>
    <x v="2"/>
    <s v="FACE"/>
    <x v="2"/>
    <s v="T2"/>
    <x v="2"/>
    <x v="4"/>
    <n v="2"/>
    <n v="9.9"/>
    <n v="9.9"/>
    <n v="19.3"/>
    <n v="13.033333333333333"/>
    <n v="68"/>
    <n v="4"/>
    <s v="Aprovado"/>
    <s v="Maputo"/>
    <s v="Sofala"/>
    <s v="Não"/>
    <n v="2023"/>
    <s v="Laboral"/>
    <s v="Noite"/>
    <s v="Ativo"/>
  </r>
  <r>
    <n v="146"/>
    <s v="Est 146"/>
    <x v="1"/>
    <n v="26"/>
    <x v="1"/>
    <s v="FACE"/>
    <x v="3"/>
    <s v="T2"/>
    <x v="3"/>
    <x v="13"/>
    <n v="1"/>
    <n v="14.2"/>
    <n v="14.8"/>
    <n v="14.8"/>
    <n v="14.6"/>
    <n v="77"/>
    <n v="6"/>
    <s v="Aprovado"/>
    <s v="Beira"/>
    <s v="Maputo"/>
    <s v="Sim"/>
    <n v="2022"/>
    <s v="Laboral"/>
    <s v="Manhã"/>
    <s v="Ativo"/>
  </r>
  <r>
    <n v="147"/>
    <s v="Est 147"/>
    <x v="1"/>
    <n v="27"/>
    <x v="2"/>
    <s v="FACE"/>
    <x v="3"/>
    <s v="T4"/>
    <x v="9"/>
    <x v="0"/>
    <n v="1"/>
    <n v="16.7"/>
    <n v="10.4"/>
    <n v="16.600000000000001"/>
    <n v="14.566666666666668"/>
    <n v="75"/>
    <n v="4"/>
    <s v="Aprovado"/>
    <s v="Beira"/>
    <s v="Sofala"/>
    <s v="Sim"/>
    <n v="2024"/>
    <s v="Pós"/>
    <s v="Noite"/>
    <s v="Ativo"/>
  </r>
  <r>
    <n v="148"/>
    <s v="Est 148"/>
    <x v="0"/>
    <n v="24"/>
    <x v="2"/>
    <s v="FACE"/>
    <x v="1"/>
    <s v="T1"/>
    <x v="6"/>
    <x v="10"/>
    <n v="2"/>
    <n v="10.3"/>
    <n v="14.3"/>
    <n v="13.5"/>
    <n v="12.700000000000001"/>
    <n v="98"/>
    <n v="5"/>
    <s v="Aprovado"/>
    <s v="Beira"/>
    <s v="Maputo"/>
    <s v="Sim"/>
    <n v="2026"/>
    <s v="Pós"/>
    <s v="Noite"/>
    <s v="Ativo"/>
  </r>
  <r>
    <n v="149"/>
    <s v="Est 149"/>
    <x v="1"/>
    <n v="33"/>
    <x v="2"/>
    <s v="FACE"/>
    <x v="0"/>
    <s v="T4"/>
    <x v="4"/>
    <x v="5"/>
    <n v="2"/>
    <n v="9.8000000000000007"/>
    <n v="10.4"/>
    <n v="19.100000000000001"/>
    <n v="13.100000000000001"/>
    <n v="76"/>
    <n v="5"/>
    <s v="Aprovado"/>
    <s v="Nampula"/>
    <s v="Nampula"/>
    <s v="Sim"/>
    <n v="2022"/>
    <s v="Pós"/>
    <s v="Noite"/>
    <s v="Ativo"/>
  </r>
  <r>
    <n v="150"/>
    <s v="Est 150"/>
    <x v="1"/>
    <n v="18"/>
    <x v="2"/>
    <s v="FACE"/>
    <x v="1"/>
    <s v="T2"/>
    <x v="3"/>
    <x v="2"/>
    <n v="2"/>
    <n v="12"/>
    <n v="8.5"/>
    <n v="12.4"/>
    <n v="10.966666666666667"/>
    <n v="90"/>
    <n v="8"/>
    <s v="Aprovado"/>
    <s v="Beira"/>
    <s v="Maputo"/>
    <s v="Não"/>
    <n v="2026"/>
    <s v="Pós"/>
    <s v="Manhã"/>
    <s v="Ativo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50">
  <r>
    <n v="1"/>
    <s v="Est 1"/>
    <s v="F"/>
    <n v="29"/>
    <s v="Gestão"/>
    <s v="FACE"/>
    <n v="4"/>
    <s v="T2"/>
    <s v="Disc5"/>
    <s v="Doc6"/>
    <n v="2"/>
    <n v="12.5"/>
    <n v="15.8"/>
    <n v="16.600000000000001"/>
    <n v="14.966666666666669"/>
    <n v="77"/>
    <n v="8"/>
    <s v="Aprovado"/>
    <s v="Maputo"/>
    <s v="Sofala"/>
    <s v="Não"/>
    <n v="2022"/>
    <s v="Laboral"/>
    <s v="Noite"/>
    <s v="Ativo"/>
  </r>
  <r>
    <n v="2"/>
    <s v="Est 2"/>
    <s v="M"/>
    <n v="27"/>
    <s v="Economia"/>
    <s v="FACE"/>
    <n v="3"/>
    <s v="T1"/>
    <s v="Disc5"/>
    <s v="Doc2"/>
    <n v="2"/>
    <n v="15"/>
    <n v="16.8"/>
    <n v="20"/>
    <n v="17.266666666666666"/>
    <n v="62"/>
    <n v="4"/>
    <s v="Aprovado"/>
    <s v="Nampula"/>
    <s v="Nampula"/>
    <s v="Não"/>
    <n v="2025"/>
    <s v="Pós"/>
    <s v="Noite"/>
    <s v="Ativo"/>
  </r>
  <r>
    <n v="3"/>
    <s v="Est 3"/>
    <s v="F"/>
    <n v="31"/>
    <s v="Contab."/>
    <s v="FACE"/>
    <n v="2"/>
    <s v="T1"/>
    <s v="Disc12"/>
    <s v="Doc5"/>
    <n v="1"/>
    <n v="11.8"/>
    <n v="13.8"/>
    <n v="13.2"/>
    <n v="12.933333333333332"/>
    <n v="70"/>
    <n v="7"/>
    <s v="Aprovado"/>
    <s v="Maputo"/>
    <s v="Maputo"/>
    <s v="Não"/>
    <n v="2023"/>
    <s v="Pós"/>
    <s v="Noite"/>
    <s v="Ativo"/>
  </r>
  <r>
    <n v="4"/>
    <s v="Est 4"/>
    <s v="M"/>
    <n v="31"/>
    <s v="Economia"/>
    <s v="FACE"/>
    <n v="1"/>
    <s v="T4"/>
    <s v="Disc5"/>
    <s v="Doc3"/>
    <n v="2"/>
    <n v="16.3"/>
    <n v="14.4"/>
    <n v="17.100000000000001"/>
    <n v="15.933333333333335"/>
    <n v="99"/>
    <n v="5"/>
    <s v="Aprovado"/>
    <s v="Maputo"/>
    <s v="Sofala"/>
    <s v="Não"/>
    <n v="2025"/>
    <s v="Laboral"/>
    <s v="Manhã"/>
    <s v="Ativo"/>
  </r>
  <r>
    <n v="5"/>
    <s v="Est 5"/>
    <s v="F"/>
    <n v="19"/>
    <s v="Gestão"/>
    <s v="FACE"/>
    <n v="1"/>
    <s v="T4"/>
    <s v="Disc7"/>
    <s v="Doc11"/>
    <n v="2"/>
    <n v="12.3"/>
    <n v="13.4"/>
    <n v="18.2"/>
    <n v="14.633333333333335"/>
    <n v="98"/>
    <n v="7"/>
    <s v="Aprovado"/>
    <s v="Beira"/>
    <s v="Sofala"/>
    <s v="Sim"/>
    <n v="2025"/>
    <s v="Laboral"/>
    <s v="Manhã"/>
    <s v="Ativo"/>
  </r>
  <r>
    <n v="6"/>
    <s v="Est 6"/>
    <s v="F"/>
    <n v="34"/>
    <s v="Economia"/>
    <s v="FACE"/>
    <n v="4"/>
    <s v="T2"/>
    <s v="Disc11"/>
    <s v="Doc15"/>
    <n v="1"/>
    <n v="12.5"/>
    <n v="9.9"/>
    <n v="14.4"/>
    <n v="12.266666666666666"/>
    <n v="69"/>
    <n v="5"/>
    <s v="Aprovado"/>
    <s v="Beira"/>
    <s v="Sofala"/>
    <s v="Sim"/>
    <n v="2026"/>
    <s v="Pós"/>
    <s v="Noite"/>
    <s v="Ativo"/>
  </r>
  <r>
    <n v="7"/>
    <s v="Est 7"/>
    <s v="M"/>
    <n v="27"/>
    <s v="Economia"/>
    <s v="FACE"/>
    <n v="3"/>
    <s v="T4"/>
    <s v="Disc10"/>
    <s v="Doc11"/>
    <n v="2"/>
    <n v="15.5"/>
    <n v="10.3"/>
    <n v="10.1"/>
    <n v="11.966666666666667"/>
    <n v="68"/>
    <n v="4"/>
    <s v="Aprovado"/>
    <s v="Nampula"/>
    <s v="Nampula"/>
    <s v="Sim"/>
    <n v="2025"/>
    <s v="Laboral"/>
    <s v="Noite"/>
    <s v="Ativo"/>
  </r>
  <r>
    <n v="8"/>
    <s v="Est 8"/>
    <s v="F"/>
    <n v="29"/>
    <s v="Economia"/>
    <s v="FACE"/>
    <n v="2"/>
    <s v="T1"/>
    <s v="Disc9"/>
    <s v="Doc10"/>
    <n v="2"/>
    <n v="11.4"/>
    <n v="15.1"/>
    <n v="16.399999999999999"/>
    <n v="14.299999999999999"/>
    <n v="88"/>
    <n v="8"/>
    <s v="Aprovado"/>
    <s v="Maputo"/>
    <s v="Maputo"/>
    <s v="Não"/>
    <n v="2025"/>
    <s v="Laboral"/>
    <s v="Manhã"/>
    <s v="Ativo"/>
  </r>
  <r>
    <n v="9"/>
    <s v="Est 9"/>
    <s v="M"/>
    <n v="23"/>
    <s v="Gestão"/>
    <s v="FACE"/>
    <n v="1"/>
    <s v="T4"/>
    <s v="Disc10"/>
    <s v="Doc13"/>
    <n v="2"/>
    <n v="9.9"/>
    <n v="17.899999999999999"/>
    <n v="18.399999999999999"/>
    <n v="15.399999999999999"/>
    <n v="89"/>
    <n v="7"/>
    <s v="Aprovado"/>
    <s v="Nampula"/>
    <s v="Nampula"/>
    <s v="Sim"/>
    <n v="2024"/>
    <s v="Pós"/>
    <s v="Manhã"/>
    <s v="Ativo"/>
  </r>
  <r>
    <n v="10"/>
    <s v="Est 10"/>
    <s v="M"/>
    <n v="20"/>
    <s v="Gestão"/>
    <s v="FACE"/>
    <n v="2"/>
    <s v="T4"/>
    <s v="Disc8"/>
    <s v="Doc5"/>
    <n v="1"/>
    <n v="14.1"/>
    <n v="13.8"/>
    <n v="12.6"/>
    <n v="13.5"/>
    <n v="61"/>
    <n v="8"/>
    <s v="Aprovado"/>
    <s v="Nampula"/>
    <s v="Sofala"/>
    <s v="Sim"/>
    <n v="2024"/>
    <s v="Laboral"/>
    <s v="Noite"/>
    <s v="Ativo"/>
  </r>
  <r>
    <n v="11"/>
    <s v="Est 11"/>
    <s v="M"/>
    <n v="26"/>
    <s v="Gestão"/>
    <s v="FACE"/>
    <n v="3"/>
    <s v="T1"/>
    <s v="Disc3"/>
    <s v="Doc7"/>
    <n v="2"/>
    <n v="14.8"/>
    <n v="14.4"/>
    <n v="16.8"/>
    <n v="15.333333333333334"/>
    <n v="78"/>
    <n v="8"/>
    <s v="Aprovado"/>
    <s v="Beira"/>
    <s v="Maputo"/>
    <s v="Sim"/>
    <n v="2024"/>
    <s v="Laboral"/>
    <s v="Noite"/>
    <s v="Ativo"/>
  </r>
  <r>
    <n v="12"/>
    <s v="Est 12"/>
    <s v="F"/>
    <n v="25"/>
    <s v="Contab."/>
    <s v="FACE"/>
    <n v="3"/>
    <s v="T4"/>
    <s v="Disc4"/>
    <s v="Doc3"/>
    <n v="2"/>
    <n v="9.8000000000000007"/>
    <n v="15.2"/>
    <n v="18.899999999999999"/>
    <n v="14.633333333333333"/>
    <n v="89"/>
    <n v="4"/>
    <s v="Aprovado"/>
    <s v="Beira"/>
    <s v="Sofala"/>
    <s v="Não"/>
    <n v="2024"/>
    <s v="Laboral"/>
    <s v="Manhã"/>
    <s v="Ativo"/>
  </r>
  <r>
    <n v="13"/>
    <s v="Est 13"/>
    <s v="F"/>
    <n v="27"/>
    <s v="Contab."/>
    <s v="FACE"/>
    <n v="2"/>
    <s v="T1"/>
    <s v="Disc4"/>
    <s v="Doc3"/>
    <n v="2"/>
    <n v="8.5"/>
    <n v="12.6"/>
    <n v="14.5"/>
    <n v="11.866666666666667"/>
    <n v="66"/>
    <n v="8"/>
    <s v="Aprovado"/>
    <s v="Beira"/>
    <s v="Nampula"/>
    <s v="Sim"/>
    <n v="2026"/>
    <s v="Pós"/>
    <s v="Manhã"/>
    <s v="Ativo"/>
  </r>
  <r>
    <n v="14"/>
    <s v="Est 14"/>
    <s v="F"/>
    <n v="22"/>
    <s v="Gestão"/>
    <s v="FACE"/>
    <n v="1"/>
    <s v="T3"/>
    <s v="Disc5"/>
    <s v="Doc13"/>
    <n v="1"/>
    <n v="9.5"/>
    <n v="10.9"/>
    <n v="12.9"/>
    <n v="11.1"/>
    <n v="85"/>
    <n v="4"/>
    <s v="Aprovado"/>
    <s v="Beira"/>
    <s v="Maputo"/>
    <s v="Sim"/>
    <n v="2023"/>
    <s v="Pós"/>
    <s v="Noite"/>
    <s v="Ativo"/>
  </r>
  <r>
    <n v="15"/>
    <s v="Est 15"/>
    <s v="M"/>
    <n v="20"/>
    <s v="Contab."/>
    <s v="FACE"/>
    <n v="2"/>
    <s v="T3"/>
    <s v="Disc3"/>
    <s v="Doc10"/>
    <n v="2"/>
    <n v="8.8000000000000007"/>
    <n v="17"/>
    <n v="11.2"/>
    <n v="12.333333333333334"/>
    <n v="77"/>
    <n v="7"/>
    <s v="Aprovado"/>
    <s v="Nampula"/>
    <s v="Maputo"/>
    <s v="Sim"/>
    <n v="2026"/>
    <s v="Pós"/>
    <s v="Manhã"/>
    <s v="Ativo"/>
  </r>
  <r>
    <n v="16"/>
    <s v="Est 16"/>
    <s v="F"/>
    <n v="32"/>
    <s v="Economia"/>
    <s v="FACE"/>
    <n v="4"/>
    <s v="T3"/>
    <s v="Disc10"/>
    <s v="Doc11"/>
    <n v="2"/>
    <n v="17.5"/>
    <n v="15.8"/>
    <n v="8.5"/>
    <n v="13.933333333333332"/>
    <n v="75"/>
    <n v="8"/>
    <s v="Aprovado"/>
    <s v="Nampula"/>
    <s v="Sofala"/>
    <s v="Não"/>
    <n v="2025"/>
    <s v="Laboral"/>
    <s v="Noite"/>
    <s v="Ativo"/>
  </r>
  <r>
    <n v="17"/>
    <s v="Est 17"/>
    <s v="M"/>
    <n v="34"/>
    <s v="Economia"/>
    <s v="FACE"/>
    <n v="2"/>
    <s v="T3"/>
    <s v="Disc8"/>
    <s v="Doc1"/>
    <n v="1"/>
    <n v="15"/>
    <n v="15"/>
    <n v="19.399999999999999"/>
    <n v="16.466666666666665"/>
    <n v="96"/>
    <n v="4"/>
    <s v="Aprovado"/>
    <s v="Beira"/>
    <s v="Sofala"/>
    <s v="Sim"/>
    <n v="2023"/>
    <s v="Laboral"/>
    <s v="Manhã"/>
    <s v="Ativo"/>
  </r>
  <r>
    <n v="18"/>
    <s v="Est 18"/>
    <s v="F"/>
    <n v="29"/>
    <s v="Contab."/>
    <s v="FACE"/>
    <n v="1"/>
    <s v="T2"/>
    <s v="Disc9"/>
    <s v="Doc11"/>
    <n v="2"/>
    <n v="11.7"/>
    <n v="11.2"/>
    <n v="9.1"/>
    <n v="10.666666666666666"/>
    <n v="89"/>
    <n v="4"/>
    <s v="Aprovado"/>
    <s v="Nampula"/>
    <s v="Nampula"/>
    <s v="Sim"/>
    <n v="2022"/>
    <s v="Laboral"/>
    <s v="Manhã"/>
    <s v="Ativo"/>
  </r>
  <r>
    <n v="19"/>
    <s v="Est 19"/>
    <s v="M"/>
    <n v="28"/>
    <s v="Gestão"/>
    <s v="FACE"/>
    <n v="3"/>
    <s v="T4"/>
    <s v="Disc9"/>
    <s v="Doc4"/>
    <n v="1"/>
    <n v="9.6"/>
    <n v="8"/>
    <n v="10.5"/>
    <n v="9.3666666666666671"/>
    <n v="78"/>
    <n v="6"/>
    <s v="Reprovado"/>
    <s v="Beira"/>
    <s v="Maputo"/>
    <s v="Não"/>
    <n v="2026"/>
    <s v="Laboral"/>
    <s v="Noite"/>
    <s v="Ativo"/>
  </r>
  <r>
    <n v="20"/>
    <s v="Est 20"/>
    <s v="F"/>
    <n v="22"/>
    <s v="Economia"/>
    <s v="FACE"/>
    <n v="1"/>
    <s v="T2"/>
    <s v="Disc4"/>
    <s v="Doc12"/>
    <n v="1"/>
    <n v="8.4"/>
    <n v="15.1"/>
    <n v="18.8"/>
    <n v="14.1"/>
    <n v="100"/>
    <n v="5"/>
    <s v="Aprovado"/>
    <s v="Nampula"/>
    <s v="Nampula"/>
    <s v="Sim"/>
    <n v="2022"/>
    <s v="Pós"/>
    <s v="Manhã"/>
    <s v="Ativo"/>
  </r>
  <r>
    <n v="21"/>
    <s v="Est 21"/>
    <s v="F"/>
    <n v="22"/>
    <s v="Economia"/>
    <s v="FACE"/>
    <n v="3"/>
    <s v="T2"/>
    <s v="Disc11"/>
    <s v="Doc2"/>
    <n v="1"/>
    <n v="14.1"/>
    <n v="11.1"/>
    <n v="8"/>
    <n v="11.066666666666668"/>
    <n v="81"/>
    <n v="8"/>
    <s v="Aprovado"/>
    <s v="Nampula"/>
    <s v="Sofala"/>
    <s v="Não"/>
    <n v="2026"/>
    <s v="Pós"/>
    <s v="Manhã"/>
    <s v="Ativo"/>
  </r>
  <r>
    <n v="22"/>
    <s v="Est 22"/>
    <s v="M"/>
    <n v="30"/>
    <s v="Contab."/>
    <s v="FACE"/>
    <n v="1"/>
    <s v="T3"/>
    <s v="Disc10"/>
    <s v="Doc3"/>
    <n v="1"/>
    <n v="14.8"/>
    <n v="17.2"/>
    <n v="9.9"/>
    <n v="13.966666666666667"/>
    <n v="74"/>
    <n v="4"/>
    <s v="Aprovado"/>
    <s v="Maputo"/>
    <s v="Sofala"/>
    <s v="Sim"/>
    <n v="2026"/>
    <s v="Laboral"/>
    <s v="Noite"/>
    <s v="Ativo"/>
  </r>
  <r>
    <n v="23"/>
    <s v="Est 23"/>
    <s v="M"/>
    <n v="19"/>
    <s v="Economia"/>
    <s v="FACE"/>
    <n v="4"/>
    <s v="T3"/>
    <s v="Disc3"/>
    <s v="Doc2"/>
    <n v="1"/>
    <n v="15.8"/>
    <n v="16.600000000000001"/>
    <n v="9.5"/>
    <n v="13.966666666666669"/>
    <n v="61"/>
    <n v="5"/>
    <s v="Aprovado"/>
    <s v="Maputo"/>
    <s v="Maputo"/>
    <s v="Sim"/>
    <n v="2022"/>
    <s v="Pós"/>
    <s v="Manhã"/>
    <s v="Ativo"/>
  </r>
  <r>
    <n v="24"/>
    <s v="Est 24"/>
    <s v="F"/>
    <n v="34"/>
    <s v="Economia"/>
    <s v="FACE"/>
    <n v="3"/>
    <s v="T2"/>
    <s v="Disc11"/>
    <s v="Doc2"/>
    <n v="2"/>
    <n v="13.3"/>
    <n v="13.6"/>
    <n v="11.2"/>
    <n v="12.699999999999998"/>
    <n v="92"/>
    <n v="7"/>
    <s v="Aprovado"/>
    <s v="Beira"/>
    <s v="Sofala"/>
    <s v="Sim"/>
    <n v="2023"/>
    <s v="Pós"/>
    <s v="Noite"/>
    <s v="Ativo"/>
  </r>
  <r>
    <n v="25"/>
    <s v="Est 25"/>
    <s v="F"/>
    <n v="20"/>
    <s v="Contab."/>
    <s v="FACE"/>
    <n v="4"/>
    <s v="T4"/>
    <s v="Disc9"/>
    <s v="Doc13"/>
    <n v="2"/>
    <n v="15.2"/>
    <n v="17.899999999999999"/>
    <n v="8.6999999999999993"/>
    <n v="13.933333333333332"/>
    <n v="61"/>
    <n v="4"/>
    <s v="Aprovado"/>
    <s v="Maputo"/>
    <s v="Sofala"/>
    <s v="Não"/>
    <n v="2026"/>
    <s v="Pós"/>
    <s v="Noite"/>
    <s v="Ativo"/>
  </r>
  <r>
    <n v="26"/>
    <s v="Est 26"/>
    <s v="F"/>
    <n v="30"/>
    <s v="Gestão"/>
    <s v="FACE"/>
    <n v="1"/>
    <s v="T2"/>
    <s v="Disc2"/>
    <s v="Doc11"/>
    <n v="1"/>
    <n v="8.3000000000000007"/>
    <n v="16.600000000000001"/>
    <n v="14.1"/>
    <n v="13"/>
    <n v="81"/>
    <n v="5"/>
    <s v="Aprovado"/>
    <s v="Beira"/>
    <s v="Maputo"/>
    <s v="Sim"/>
    <n v="2024"/>
    <s v="Pós"/>
    <s v="Noite"/>
    <s v="Ativo"/>
  </r>
  <r>
    <n v="27"/>
    <s v="Est 27"/>
    <s v="F"/>
    <n v="34"/>
    <s v="Contab."/>
    <s v="FACE"/>
    <n v="4"/>
    <s v="T2"/>
    <s v="Disc10"/>
    <s v="Doc14"/>
    <n v="2"/>
    <n v="10"/>
    <n v="12.4"/>
    <n v="18.100000000000001"/>
    <n v="13.5"/>
    <n v="72"/>
    <n v="4"/>
    <s v="Aprovado"/>
    <s v="Beira"/>
    <s v="Nampula"/>
    <s v="Sim"/>
    <n v="2023"/>
    <s v="Laboral"/>
    <s v="Noite"/>
    <s v="Ativo"/>
  </r>
  <r>
    <n v="28"/>
    <s v="Est 28"/>
    <s v="M"/>
    <n v="25"/>
    <s v="Contab."/>
    <s v="FACE"/>
    <n v="1"/>
    <s v="T3"/>
    <s v="Disc10"/>
    <s v="Doc4"/>
    <n v="2"/>
    <n v="12.8"/>
    <n v="11"/>
    <n v="14.9"/>
    <n v="12.9"/>
    <n v="88"/>
    <n v="8"/>
    <s v="Aprovado"/>
    <s v="Maputo"/>
    <s v="Maputo"/>
    <s v="Não"/>
    <n v="2022"/>
    <s v="Laboral"/>
    <s v="Manhã"/>
    <s v="Ativo"/>
  </r>
  <r>
    <n v="29"/>
    <s v="Est 29"/>
    <s v="F"/>
    <n v="31"/>
    <s v="Economia"/>
    <s v="FACE"/>
    <n v="1"/>
    <s v="T4"/>
    <s v="Disc10"/>
    <s v="Doc3"/>
    <n v="2"/>
    <n v="11.1"/>
    <n v="8.6999999999999993"/>
    <n v="10.7"/>
    <n v="10.166666666666666"/>
    <n v="65"/>
    <n v="7"/>
    <s v="Aprovado"/>
    <s v="Nampula"/>
    <s v="Sofala"/>
    <s v="Não"/>
    <n v="2022"/>
    <s v="Laboral"/>
    <s v="Manhã"/>
    <s v="Ativo"/>
  </r>
  <r>
    <n v="30"/>
    <s v="Est 30"/>
    <s v="F"/>
    <n v="24"/>
    <s v="Economia"/>
    <s v="FACE"/>
    <n v="4"/>
    <s v="T1"/>
    <s v="Disc4"/>
    <s v="Doc4"/>
    <n v="2"/>
    <n v="11.7"/>
    <n v="16.100000000000001"/>
    <n v="11.3"/>
    <n v="13.033333333333333"/>
    <n v="96"/>
    <n v="8"/>
    <s v="Aprovado"/>
    <s v="Nampula"/>
    <s v="Maputo"/>
    <s v="Não"/>
    <n v="2023"/>
    <s v="Pós"/>
    <s v="Noite"/>
    <s v="Ativo"/>
  </r>
  <r>
    <n v="31"/>
    <s v="Est 31"/>
    <s v="M"/>
    <n v="28"/>
    <s v="Contab."/>
    <s v="FACE"/>
    <n v="1"/>
    <s v="T1"/>
    <s v="Disc6"/>
    <s v="Doc9"/>
    <n v="2"/>
    <n v="10.7"/>
    <n v="13.7"/>
    <n v="13.2"/>
    <n v="12.533333333333331"/>
    <n v="92"/>
    <n v="6"/>
    <s v="Aprovado"/>
    <s v="Nampula"/>
    <s v="Maputo"/>
    <s v="Não"/>
    <n v="2022"/>
    <s v="Pós"/>
    <s v="Manhã"/>
    <s v="Ativo"/>
  </r>
  <r>
    <n v="32"/>
    <s v="Est 32"/>
    <s v="M"/>
    <n v="29"/>
    <s v="Economia"/>
    <s v="FACE"/>
    <n v="2"/>
    <s v="T1"/>
    <s v="Disc8"/>
    <s v="Doc9"/>
    <n v="1"/>
    <n v="16.5"/>
    <n v="9.3000000000000007"/>
    <n v="14.2"/>
    <n v="13.333333333333334"/>
    <n v="80"/>
    <n v="7"/>
    <s v="Aprovado"/>
    <s v="Maputo"/>
    <s v="Nampula"/>
    <s v="Não"/>
    <n v="2022"/>
    <s v="Pós"/>
    <s v="Noite"/>
    <s v="Ativo"/>
  </r>
  <r>
    <n v="33"/>
    <s v="Est 33"/>
    <s v="F"/>
    <n v="33"/>
    <s v="Contab."/>
    <s v="FACE"/>
    <n v="2"/>
    <s v="T4"/>
    <s v="Disc4"/>
    <s v="Doc12"/>
    <n v="1"/>
    <n v="17.3"/>
    <n v="14"/>
    <n v="8.4"/>
    <n v="13.233333333333334"/>
    <n v="70"/>
    <n v="5"/>
    <s v="Aprovado"/>
    <s v="Nampula"/>
    <s v="Sofala"/>
    <s v="Sim"/>
    <n v="2025"/>
    <s v="Pós"/>
    <s v="Noite"/>
    <s v="Ativo"/>
  </r>
  <r>
    <n v="34"/>
    <s v="Est 34"/>
    <s v="F"/>
    <n v="26"/>
    <s v="Economia"/>
    <s v="FACE"/>
    <n v="4"/>
    <s v="T4"/>
    <s v="Disc11"/>
    <s v="Doc9"/>
    <n v="2"/>
    <n v="15.6"/>
    <n v="15.8"/>
    <n v="19.5"/>
    <n v="16.966666666666665"/>
    <n v="64"/>
    <n v="4"/>
    <s v="Aprovado"/>
    <s v="Maputo"/>
    <s v="Sofala"/>
    <s v="Não"/>
    <n v="2024"/>
    <s v="Laboral"/>
    <s v="Manhã"/>
    <s v="Ativo"/>
  </r>
  <r>
    <n v="35"/>
    <s v="Est 35"/>
    <s v="M"/>
    <n v="26"/>
    <s v="Economia"/>
    <s v="FACE"/>
    <n v="2"/>
    <s v="T1"/>
    <s v="Disc1"/>
    <s v="Doc14"/>
    <n v="1"/>
    <n v="15.4"/>
    <n v="15.6"/>
    <n v="13.3"/>
    <n v="14.766666666666666"/>
    <n v="87"/>
    <n v="4"/>
    <s v="Aprovado"/>
    <s v="Beira"/>
    <s v="Sofala"/>
    <s v="Não"/>
    <n v="2024"/>
    <s v="Laboral"/>
    <s v="Manhã"/>
    <s v="Ativo"/>
  </r>
  <r>
    <n v="36"/>
    <s v="Est 36"/>
    <s v="M"/>
    <n v="35"/>
    <s v="Economia"/>
    <s v="FACE"/>
    <n v="4"/>
    <s v="T2"/>
    <s v="Disc3"/>
    <s v="Doc6"/>
    <n v="2"/>
    <n v="17.899999999999999"/>
    <n v="13.8"/>
    <n v="17.3"/>
    <n v="16.333333333333332"/>
    <n v="92"/>
    <n v="7"/>
    <s v="Aprovado"/>
    <s v="Nampula"/>
    <s v="Sofala"/>
    <s v="Não"/>
    <n v="2026"/>
    <s v="Pós"/>
    <s v="Manhã"/>
    <s v="Ativo"/>
  </r>
  <r>
    <n v="37"/>
    <s v="Est 37"/>
    <s v="M"/>
    <n v="34"/>
    <s v="Contab."/>
    <s v="FACE"/>
    <n v="2"/>
    <s v="T2"/>
    <s v="Disc5"/>
    <s v="Doc14"/>
    <n v="1"/>
    <n v="16.899999999999999"/>
    <n v="11.2"/>
    <n v="8.3000000000000007"/>
    <n v="12.133333333333333"/>
    <n v="64"/>
    <n v="5"/>
    <s v="Aprovado"/>
    <s v="Nampula"/>
    <s v="Maputo"/>
    <s v="Sim"/>
    <n v="2025"/>
    <s v="Laboral"/>
    <s v="Manhã"/>
    <s v="Ativo"/>
  </r>
  <r>
    <n v="38"/>
    <s v="Est 38"/>
    <s v="M"/>
    <n v="30"/>
    <s v="Economia"/>
    <s v="FACE"/>
    <n v="4"/>
    <s v="T2"/>
    <s v="Disc5"/>
    <s v="Doc2"/>
    <n v="2"/>
    <n v="13.4"/>
    <n v="16.3"/>
    <n v="13.6"/>
    <n v="14.433333333333335"/>
    <n v="73"/>
    <n v="6"/>
    <s v="Aprovado"/>
    <s v="Maputo"/>
    <s v="Sofala"/>
    <s v="Sim"/>
    <n v="2022"/>
    <s v="Pós"/>
    <s v="Manhã"/>
    <s v="Ativo"/>
  </r>
  <r>
    <n v="39"/>
    <s v="Est 39"/>
    <s v="M"/>
    <n v="29"/>
    <s v="Gestão"/>
    <s v="FACE"/>
    <n v="3"/>
    <s v="T3"/>
    <s v="Disc10"/>
    <s v="Doc15"/>
    <n v="2"/>
    <n v="11"/>
    <n v="12.6"/>
    <n v="11.5"/>
    <n v="11.700000000000001"/>
    <n v="92"/>
    <n v="6"/>
    <s v="Aprovado"/>
    <s v="Nampula"/>
    <s v="Maputo"/>
    <s v="Sim"/>
    <n v="2023"/>
    <s v="Laboral"/>
    <s v="Noite"/>
    <s v="Ativo"/>
  </r>
  <r>
    <n v="40"/>
    <s v="Est 40"/>
    <s v="M"/>
    <n v="19"/>
    <s v="Gestão"/>
    <s v="FACE"/>
    <n v="4"/>
    <s v="T2"/>
    <s v="Disc10"/>
    <s v="Doc7"/>
    <n v="1"/>
    <n v="9.1999999999999993"/>
    <n v="15"/>
    <n v="8.3000000000000007"/>
    <n v="10.833333333333334"/>
    <n v="97"/>
    <n v="5"/>
    <s v="Aprovado"/>
    <s v="Nampula"/>
    <s v="Maputo"/>
    <s v="Sim"/>
    <n v="2022"/>
    <s v="Pós"/>
    <s v="Manhã"/>
    <s v="Ativo"/>
  </r>
  <r>
    <n v="41"/>
    <s v="Est 41"/>
    <s v="F"/>
    <n v="22"/>
    <s v="Economia"/>
    <s v="FACE"/>
    <n v="3"/>
    <s v="T2"/>
    <s v="Disc7"/>
    <s v="Doc2"/>
    <n v="2"/>
    <n v="9.3000000000000007"/>
    <n v="15.6"/>
    <n v="11.6"/>
    <n v="12.166666666666666"/>
    <n v="99"/>
    <n v="5"/>
    <s v="Aprovado"/>
    <s v="Maputo"/>
    <s v="Maputo"/>
    <s v="Não"/>
    <n v="2026"/>
    <s v="Pós"/>
    <s v="Noite"/>
    <s v="Ativo"/>
  </r>
  <r>
    <n v="42"/>
    <s v="Est 42"/>
    <s v="M"/>
    <n v="23"/>
    <s v="Contab."/>
    <s v="FACE"/>
    <n v="3"/>
    <s v="T1"/>
    <s v="Disc6"/>
    <s v="Doc3"/>
    <n v="2"/>
    <n v="10.1"/>
    <n v="14.4"/>
    <n v="19.600000000000001"/>
    <n v="14.700000000000001"/>
    <n v="67"/>
    <n v="5"/>
    <s v="Aprovado"/>
    <s v="Maputo"/>
    <s v="Sofala"/>
    <s v="Não"/>
    <n v="2026"/>
    <s v="Laboral"/>
    <s v="Noite"/>
    <s v="Ativo"/>
  </r>
  <r>
    <n v="43"/>
    <s v="Est 43"/>
    <s v="M"/>
    <n v="33"/>
    <s v="Economia"/>
    <s v="FACE"/>
    <n v="1"/>
    <s v="T3"/>
    <s v="Disc10"/>
    <s v="Doc8"/>
    <n v="1"/>
    <n v="14.7"/>
    <n v="8.8000000000000007"/>
    <n v="16.600000000000001"/>
    <n v="13.366666666666667"/>
    <n v="70"/>
    <n v="7"/>
    <s v="Aprovado"/>
    <s v="Maputo"/>
    <s v="Nampula"/>
    <s v="Não"/>
    <n v="2022"/>
    <s v="Laboral"/>
    <s v="Noite"/>
    <s v="Ativo"/>
  </r>
  <r>
    <n v="44"/>
    <s v="Est 44"/>
    <s v="M"/>
    <n v="24"/>
    <s v="Economia"/>
    <s v="FACE"/>
    <n v="1"/>
    <s v="T3"/>
    <s v="Disc9"/>
    <s v="Doc4"/>
    <n v="2"/>
    <n v="13.2"/>
    <n v="16.2"/>
    <n v="11.4"/>
    <n v="13.6"/>
    <n v="93"/>
    <n v="6"/>
    <s v="Aprovado"/>
    <s v="Maputo"/>
    <s v="Maputo"/>
    <s v="Não"/>
    <n v="2023"/>
    <s v="Laboral"/>
    <s v="Manhã"/>
    <s v="Ativo"/>
  </r>
  <r>
    <n v="45"/>
    <s v="Est 45"/>
    <s v="F"/>
    <n v="29"/>
    <s v="Economia"/>
    <s v="FACE"/>
    <n v="3"/>
    <s v="T1"/>
    <s v="Disc5"/>
    <s v="Doc2"/>
    <n v="1"/>
    <n v="15"/>
    <n v="9.8000000000000007"/>
    <n v="12.8"/>
    <n v="12.533333333333333"/>
    <n v="88"/>
    <n v="8"/>
    <s v="Aprovado"/>
    <s v="Beira"/>
    <s v="Maputo"/>
    <s v="Sim"/>
    <n v="2024"/>
    <s v="Laboral"/>
    <s v="Noite"/>
    <s v="Ativo"/>
  </r>
  <r>
    <n v="46"/>
    <s v="Est 46"/>
    <s v="F"/>
    <n v="32"/>
    <s v="Contab."/>
    <s v="FACE"/>
    <n v="4"/>
    <s v="T4"/>
    <s v="Disc11"/>
    <s v="Doc12"/>
    <n v="2"/>
    <n v="9.9"/>
    <n v="17.5"/>
    <n v="9.3000000000000007"/>
    <n v="12.233333333333334"/>
    <n v="80"/>
    <n v="6"/>
    <s v="Aprovado"/>
    <s v="Beira"/>
    <s v="Sofala"/>
    <s v="Não"/>
    <n v="2023"/>
    <s v="Laboral"/>
    <s v="Manhã"/>
    <s v="Ativo"/>
  </r>
  <r>
    <n v="47"/>
    <s v="Est 47"/>
    <s v="M"/>
    <n v="28"/>
    <s v="Economia"/>
    <s v="FACE"/>
    <n v="1"/>
    <s v="T1"/>
    <s v="Disc11"/>
    <s v="Doc11"/>
    <n v="1"/>
    <n v="12.5"/>
    <n v="8.4"/>
    <n v="11.8"/>
    <n v="10.9"/>
    <n v="81"/>
    <n v="6"/>
    <s v="Aprovado"/>
    <s v="Nampula"/>
    <s v="Sofala"/>
    <s v="Não"/>
    <n v="2023"/>
    <s v="Pós"/>
    <s v="Manhã"/>
    <s v="Ativo"/>
  </r>
  <r>
    <n v="48"/>
    <s v="Est 48"/>
    <s v="F"/>
    <n v="31"/>
    <s v="Economia"/>
    <s v="FACE"/>
    <n v="4"/>
    <s v="T3"/>
    <s v="Disc3"/>
    <s v="Doc9"/>
    <n v="1"/>
    <n v="10.8"/>
    <n v="12.2"/>
    <n v="12.8"/>
    <n v="11.933333333333332"/>
    <n v="86"/>
    <n v="6"/>
    <s v="Aprovado"/>
    <s v="Nampula"/>
    <s v="Maputo"/>
    <s v="Não"/>
    <n v="2022"/>
    <s v="Pós"/>
    <s v="Noite"/>
    <s v="Ativo"/>
  </r>
  <r>
    <n v="49"/>
    <s v="Est 49"/>
    <s v="F"/>
    <n v="31"/>
    <s v="Gestão"/>
    <s v="FACE"/>
    <n v="1"/>
    <s v="T2"/>
    <s v="Disc3"/>
    <s v="Doc1"/>
    <n v="2"/>
    <n v="11"/>
    <n v="12"/>
    <n v="14.2"/>
    <n v="12.4"/>
    <n v="61"/>
    <n v="4"/>
    <s v="Aprovado"/>
    <s v="Nampula"/>
    <s v="Nampula"/>
    <s v="Sim"/>
    <n v="2022"/>
    <s v="Laboral"/>
    <s v="Manhã"/>
    <s v="Ativo"/>
  </r>
  <r>
    <n v="50"/>
    <s v="Est 50"/>
    <s v="F"/>
    <n v="25"/>
    <s v="Contab."/>
    <s v="FACE"/>
    <n v="2"/>
    <s v="T4"/>
    <s v="Disc10"/>
    <s v="Doc15"/>
    <n v="1"/>
    <n v="17.899999999999999"/>
    <n v="16.8"/>
    <n v="10.6"/>
    <n v="15.100000000000001"/>
    <n v="90"/>
    <n v="7"/>
    <s v="Aprovado"/>
    <s v="Maputo"/>
    <s v="Maputo"/>
    <s v="Sim"/>
    <n v="2022"/>
    <s v="Pós"/>
    <s v="Manhã"/>
    <s v="Ativo"/>
  </r>
  <r>
    <n v="51"/>
    <s v="Est 51"/>
    <s v="F"/>
    <n v="18"/>
    <s v="Economia"/>
    <s v="FACE"/>
    <n v="3"/>
    <s v="T1"/>
    <s v="Disc5"/>
    <s v="Doc11"/>
    <n v="2"/>
    <n v="15.2"/>
    <n v="16.2"/>
    <n v="10"/>
    <n v="13.799999999999999"/>
    <n v="80"/>
    <n v="5"/>
    <s v="Aprovado"/>
    <s v="Maputo"/>
    <s v="Sofala"/>
    <s v="Não"/>
    <n v="2023"/>
    <s v="Laboral"/>
    <s v="Manhã"/>
    <s v="Ativo"/>
  </r>
  <r>
    <n v="52"/>
    <s v="Est 52"/>
    <s v="F"/>
    <n v="26"/>
    <s v="Gestão"/>
    <s v="FACE"/>
    <n v="1"/>
    <s v="T1"/>
    <s v="Disc5"/>
    <s v="Doc15"/>
    <n v="1"/>
    <n v="16.899999999999999"/>
    <n v="13"/>
    <n v="18.100000000000001"/>
    <n v="16"/>
    <n v="99"/>
    <n v="6"/>
    <s v="Aprovado"/>
    <s v="Nampula"/>
    <s v="Sofala"/>
    <s v="Sim"/>
    <n v="2026"/>
    <s v="Laboral"/>
    <s v="Noite"/>
    <s v="Ativo"/>
  </r>
  <r>
    <n v="53"/>
    <s v="Est 53"/>
    <s v="M"/>
    <n v="27"/>
    <s v="Gestão"/>
    <s v="FACE"/>
    <n v="3"/>
    <s v="T1"/>
    <s v="Disc10"/>
    <s v="Doc13"/>
    <n v="2"/>
    <n v="13.6"/>
    <n v="9.6999999999999993"/>
    <n v="17.399999999999999"/>
    <n v="13.566666666666665"/>
    <n v="81"/>
    <n v="4"/>
    <s v="Aprovado"/>
    <s v="Maputo"/>
    <s v="Sofala"/>
    <s v="Não"/>
    <n v="2023"/>
    <s v="Pós"/>
    <s v="Manhã"/>
    <s v="Ativo"/>
  </r>
  <r>
    <n v="54"/>
    <s v="Est 54"/>
    <s v="M"/>
    <n v="23"/>
    <s v="Contab."/>
    <s v="FACE"/>
    <n v="1"/>
    <s v="T3"/>
    <s v="Disc5"/>
    <s v="Doc3"/>
    <n v="1"/>
    <n v="14.9"/>
    <n v="10.3"/>
    <n v="11.3"/>
    <n v="12.166666666666666"/>
    <n v="90"/>
    <n v="5"/>
    <s v="Aprovado"/>
    <s v="Beira"/>
    <s v="Maputo"/>
    <s v="Sim"/>
    <n v="2026"/>
    <s v="Pós"/>
    <s v="Noite"/>
    <s v="Ativo"/>
  </r>
  <r>
    <n v="55"/>
    <s v="Est 55"/>
    <s v="F"/>
    <n v="27"/>
    <s v="Gestão"/>
    <s v="FACE"/>
    <n v="4"/>
    <s v="T4"/>
    <s v="Disc7"/>
    <s v="Doc5"/>
    <n v="1"/>
    <n v="8.6"/>
    <n v="16.3"/>
    <n v="16.2"/>
    <n v="13.699999999999998"/>
    <n v="64"/>
    <n v="7"/>
    <s v="Aprovado"/>
    <s v="Maputo"/>
    <s v="Maputo"/>
    <s v="Sim"/>
    <n v="2022"/>
    <s v="Laboral"/>
    <s v="Noite"/>
    <s v="Ativo"/>
  </r>
  <r>
    <n v="56"/>
    <s v="Est 56"/>
    <s v="M"/>
    <n v="22"/>
    <s v="Gestão"/>
    <s v="FACE"/>
    <n v="4"/>
    <s v="T4"/>
    <s v="Disc10"/>
    <s v="Doc15"/>
    <n v="1"/>
    <n v="12.9"/>
    <n v="16.399999999999999"/>
    <n v="19.899999999999999"/>
    <n v="16.399999999999999"/>
    <n v="81"/>
    <n v="4"/>
    <s v="Aprovado"/>
    <s v="Nampula"/>
    <s v="Nampula"/>
    <s v="Sim"/>
    <n v="2025"/>
    <s v="Laboral"/>
    <s v="Noite"/>
    <s v="Ativo"/>
  </r>
  <r>
    <n v="57"/>
    <s v="Est 57"/>
    <s v="M"/>
    <n v="20"/>
    <s v="Gestão"/>
    <s v="FACE"/>
    <n v="4"/>
    <s v="T3"/>
    <s v="Disc6"/>
    <s v="Doc1"/>
    <n v="1"/>
    <n v="17.2"/>
    <n v="11.4"/>
    <n v="11.2"/>
    <n v="13.266666666666666"/>
    <n v="76"/>
    <n v="8"/>
    <s v="Aprovado"/>
    <s v="Beira"/>
    <s v="Sofala"/>
    <s v="Não"/>
    <n v="2023"/>
    <s v="Pós"/>
    <s v="Noite"/>
    <s v="Ativo"/>
  </r>
  <r>
    <n v="58"/>
    <s v="Est 58"/>
    <s v="M"/>
    <n v="33"/>
    <s v="Gestão"/>
    <s v="FACE"/>
    <n v="4"/>
    <s v="T3"/>
    <s v="Disc8"/>
    <s v="Doc14"/>
    <n v="2"/>
    <n v="14.7"/>
    <n v="12.6"/>
    <n v="17.399999999999999"/>
    <n v="14.899999999999999"/>
    <n v="96"/>
    <n v="5"/>
    <s v="Aprovado"/>
    <s v="Beira"/>
    <s v="Maputo"/>
    <s v="Não"/>
    <n v="2023"/>
    <s v="Pós"/>
    <s v="Manhã"/>
    <s v="Ativo"/>
  </r>
  <r>
    <n v="59"/>
    <s v="Est 59"/>
    <s v="F"/>
    <n v="30"/>
    <s v="Contab."/>
    <s v="FACE"/>
    <n v="1"/>
    <s v="T2"/>
    <s v="Disc6"/>
    <s v="Doc14"/>
    <n v="1"/>
    <n v="14.6"/>
    <n v="12.3"/>
    <n v="18"/>
    <n v="14.966666666666667"/>
    <n v="100"/>
    <n v="8"/>
    <s v="Aprovado"/>
    <s v="Nampula"/>
    <s v="Maputo"/>
    <s v="Sim"/>
    <n v="2022"/>
    <s v="Laboral"/>
    <s v="Manhã"/>
    <s v="Ativo"/>
  </r>
  <r>
    <n v="60"/>
    <s v="Est 60"/>
    <s v="M"/>
    <n v="32"/>
    <s v="Economia"/>
    <s v="FACE"/>
    <n v="3"/>
    <s v="T1"/>
    <s v="Disc9"/>
    <s v="Doc1"/>
    <n v="1"/>
    <n v="10.6"/>
    <n v="12.6"/>
    <n v="9.9"/>
    <n v="11.033333333333333"/>
    <n v="66"/>
    <n v="7"/>
    <s v="Aprovado"/>
    <s v="Beira"/>
    <s v="Sofala"/>
    <s v="Não"/>
    <n v="2022"/>
    <s v="Laboral"/>
    <s v="Noite"/>
    <s v="Ativo"/>
  </r>
  <r>
    <n v="61"/>
    <s v="Est 61"/>
    <s v="F"/>
    <n v="20"/>
    <s v="Contab."/>
    <s v="FACE"/>
    <n v="3"/>
    <s v="T4"/>
    <s v="Disc6"/>
    <s v="Doc10"/>
    <n v="1"/>
    <n v="15.2"/>
    <n v="11.2"/>
    <n v="18.8"/>
    <n v="15.066666666666668"/>
    <n v="68"/>
    <n v="8"/>
    <s v="Aprovado"/>
    <s v="Maputo"/>
    <s v="Sofala"/>
    <s v="Sim"/>
    <n v="2026"/>
    <s v="Laboral"/>
    <s v="Noite"/>
    <s v="Ativo"/>
  </r>
  <r>
    <n v="62"/>
    <s v="Est 62"/>
    <s v="F"/>
    <n v="32"/>
    <s v="Gestão"/>
    <s v="FACE"/>
    <n v="3"/>
    <s v="T1"/>
    <s v="Disc11"/>
    <s v="Doc5"/>
    <n v="2"/>
    <n v="14"/>
    <n v="8.6999999999999993"/>
    <n v="18.100000000000001"/>
    <n v="13.6"/>
    <n v="75"/>
    <n v="4"/>
    <s v="Aprovado"/>
    <s v="Maputo"/>
    <s v="Nampula"/>
    <s v="Não"/>
    <n v="2023"/>
    <s v="Laboral"/>
    <s v="Noite"/>
    <s v="Ativo"/>
  </r>
  <r>
    <n v="63"/>
    <s v="Est 63"/>
    <s v="M"/>
    <n v="28"/>
    <s v="Gestão"/>
    <s v="FACE"/>
    <n v="3"/>
    <s v="T3"/>
    <s v="Disc11"/>
    <s v="Doc13"/>
    <n v="2"/>
    <n v="12.1"/>
    <n v="8.6999999999999993"/>
    <n v="16.7"/>
    <n v="12.5"/>
    <n v="74"/>
    <n v="5"/>
    <s v="Aprovado"/>
    <s v="Beira"/>
    <s v="Sofala"/>
    <s v="Não"/>
    <n v="2023"/>
    <s v="Pós"/>
    <s v="Noite"/>
    <s v="Ativo"/>
  </r>
  <r>
    <n v="64"/>
    <s v="Est 64"/>
    <s v="F"/>
    <n v="26"/>
    <s v="Economia"/>
    <s v="FACE"/>
    <n v="3"/>
    <s v="T2"/>
    <s v="Disc6"/>
    <s v="Doc2"/>
    <n v="2"/>
    <n v="13.1"/>
    <n v="14.3"/>
    <n v="13.6"/>
    <n v="13.666666666666666"/>
    <n v="95"/>
    <n v="8"/>
    <s v="Aprovado"/>
    <s v="Nampula"/>
    <s v="Maputo"/>
    <s v="Sim"/>
    <n v="2022"/>
    <s v="Laboral"/>
    <s v="Noite"/>
    <s v="Ativo"/>
  </r>
  <r>
    <n v="65"/>
    <s v="Est 65"/>
    <s v="M"/>
    <n v="25"/>
    <s v="Gestão"/>
    <s v="FACE"/>
    <n v="1"/>
    <s v="T4"/>
    <s v="Disc9"/>
    <s v="Doc6"/>
    <n v="1"/>
    <n v="17"/>
    <n v="8.3000000000000007"/>
    <n v="15.2"/>
    <n v="13.5"/>
    <n v="98"/>
    <n v="6"/>
    <s v="Aprovado"/>
    <s v="Maputo"/>
    <s v="Nampula"/>
    <s v="Sim"/>
    <n v="2025"/>
    <s v="Laboral"/>
    <s v="Noite"/>
    <s v="Ativo"/>
  </r>
  <r>
    <n v="66"/>
    <s v="Est 66"/>
    <s v="F"/>
    <n v="23"/>
    <s v="Economia"/>
    <s v="FACE"/>
    <n v="4"/>
    <s v="T1"/>
    <s v="Disc10"/>
    <s v="Doc11"/>
    <n v="2"/>
    <n v="11.8"/>
    <n v="11"/>
    <n v="13.9"/>
    <n v="12.233333333333334"/>
    <n v="100"/>
    <n v="5"/>
    <s v="Aprovado"/>
    <s v="Maputo"/>
    <s v="Maputo"/>
    <s v="Não"/>
    <n v="2024"/>
    <s v="Laboral"/>
    <s v="Noite"/>
    <s v="Ativo"/>
  </r>
  <r>
    <n v="67"/>
    <s v="Est 67"/>
    <s v="F"/>
    <n v="33"/>
    <s v="Gestão"/>
    <s v="FACE"/>
    <n v="1"/>
    <s v="T4"/>
    <s v="Disc3"/>
    <s v="Doc9"/>
    <n v="2"/>
    <n v="12.2"/>
    <n v="12.8"/>
    <n v="12.4"/>
    <n v="12.466666666666667"/>
    <n v="65"/>
    <n v="5"/>
    <s v="Aprovado"/>
    <s v="Nampula"/>
    <s v="Nampula"/>
    <s v="Sim"/>
    <n v="2023"/>
    <s v="Laboral"/>
    <s v="Noite"/>
    <s v="Ativo"/>
  </r>
  <r>
    <n v="68"/>
    <s v="Est 68"/>
    <s v="M"/>
    <n v="30"/>
    <s v="Gestão"/>
    <s v="FACE"/>
    <n v="4"/>
    <s v="T3"/>
    <s v="Disc1"/>
    <s v="Doc14"/>
    <n v="2"/>
    <n v="13"/>
    <n v="16.899999999999999"/>
    <n v="13.6"/>
    <n v="14.5"/>
    <n v="76"/>
    <n v="4"/>
    <s v="Aprovado"/>
    <s v="Nampula"/>
    <s v="Nampula"/>
    <s v="Não"/>
    <n v="2024"/>
    <s v="Laboral"/>
    <s v="Manhã"/>
    <s v="Ativo"/>
  </r>
  <r>
    <n v="69"/>
    <s v="Est 69"/>
    <s v="F"/>
    <n v="32"/>
    <s v="Gestão"/>
    <s v="FACE"/>
    <n v="2"/>
    <s v="T1"/>
    <s v="Disc10"/>
    <s v="Doc9"/>
    <n v="1"/>
    <n v="15.6"/>
    <n v="15.9"/>
    <n v="11.1"/>
    <n v="14.200000000000001"/>
    <n v="70"/>
    <n v="8"/>
    <s v="Aprovado"/>
    <s v="Maputo"/>
    <s v="Sofala"/>
    <s v="Sim"/>
    <n v="2024"/>
    <s v="Pós"/>
    <s v="Manhã"/>
    <s v="Ativo"/>
  </r>
  <r>
    <n v="70"/>
    <s v="Est 70"/>
    <s v="M"/>
    <n v="30"/>
    <s v="Gestão"/>
    <s v="FACE"/>
    <n v="3"/>
    <s v="T1"/>
    <s v="Disc2"/>
    <s v="Doc15"/>
    <n v="2"/>
    <n v="17.100000000000001"/>
    <n v="14.6"/>
    <n v="10.6"/>
    <n v="14.100000000000001"/>
    <n v="65"/>
    <n v="8"/>
    <s v="Aprovado"/>
    <s v="Beira"/>
    <s v="Sofala"/>
    <s v="Não"/>
    <n v="2025"/>
    <s v="Pós"/>
    <s v="Manhã"/>
    <s v="Ativo"/>
  </r>
  <r>
    <n v="71"/>
    <s v="Est 71"/>
    <s v="M"/>
    <n v="29"/>
    <s v="Contab."/>
    <s v="FACE"/>
    <n v="4"/>
    <s v="T3"/>
    <s v="Disc12"/>
    <s v="Doc14"/>
    <n v="1"/>
    <n v="11.4"/>
    <n v="12.8"/>
    <n v="11.6"/>
    <n v="11.933333333333335"/>
    <n v="78"/>
    <n v="8"/>
    <s v="Aprovado"/>
    <s v="Beira"/>
    <s v="Maputo"/>
    <s v="Não"/>
    <n v="2023"/>
    <s v="Pós"/>
    <s v="Manhã"/>
    <s v="Ativo"/>
  </r>
  <r>
    <n v="72"/>
    <s v="Est 72"/>
    <s v="M"/>
    <n v="29"/>
    <s v="Economia"/>
    <s v="FACE"/>
    <n v="2"/>
    <s v="T4"/>
    <s v="Disc12"/>
    <s v="Doc11"/>
    <n v="1"/>
    <n v="14.9"/>
    <n v="9.5"/>
    <n v="8.5"/>
    <n v="10.966666666666667"/>
    <n v="77"/>
    <n v="6"/>
    <s v="Aprovado"/>
    <s v="Maputo"/>
    <s v="Nampula"/>
    <s v="Não"/>
    <n v="2023"/>
    <s v="Pós"/>
    <s v="Noite"/>
    <s v="Ativo"/>
  </r>
  <r>
    <n v="73"/>
    <s v="Est 73"/>
    <s v="F"/>
    <n v="18"/>
    <s v="Economia"/>
    <s v="FACE"/>
    <n v="4"/>
    <s v="T3"/>
    <s v="Disc12"/>
    <s v="Doc12"/>
    <n v="1"/>
    <n v="10.1"/>
    <n v="11.9"/>
    <n v="8.9"/>
    <n v="10.299999999999999"/>
    <n v="75"/>
    <n v="4"/>
    <s v="Aprovado"/>
    <s v="Beira"/>
    <s v="Nampula"/>
    <s v="Sim"/>
    <n v="2022"/>
    <s v="Laboral"/>
    <s v="Noite"/>
    <s v="Ativo"/>
  </r>
  <r>
    <n v="74"/>
    <s v="Est 74"/>
    <s v="F"/>
    <n v="23"/>
    <s v="Gestão"/>
    <s v="FACE"/>
    <n v="4"/>
    <s v="T4"/>
    <s v="Disc1"/>
    <s v="Doc14"/>
    <n v="2"/>
    <n v="11.2"/>
    <n v="10.7"/>
    <n v="14.6"/>
    <n v="12.166666666666666"/>
    <n v="89"/>
    <n v="4"/>
    <s v="Aprovado"/>
    <s v="Beira"/>
    <s v="Maputo"/>
    <s v="Não"/>
    <n v="2022"/>
    <s v="Pós"/>
    <s v="Manhã"/>
    <s v="Ativo"/>
  </r>
  <r>
    <n v="75"/>
    <s v="Est 75"/>
    <s v="M"/>
    <n v="33"/>
    <s v="Gestão"/>
    <s v="FACE"/>
    <n v="1"/>
    <s v="T3"/>
    <s v="Disc6"/>
    <s v="Doc12"/>
    <n v="2"/>
    <n v="8.1999999999999993"/>
    <n v="15.3"/>
    <n v="13.6"/>
    <n v="12.366666666666667"/>
    <n v="76"/>
    <n v="8"/>
    <s v="Aprovado"/>
    <s v="Maputo"/>
    <s v="Nampula"/>
    <s v="Sim"/>
    <n v="2024"/>
    <s v="Laboral"/>
    <s v="Manhã"/>
    <s v="Ativo"/>
  </r>
  <r>
    <n v="76"/>
    <s v="Est 76"/>
    <s v="M"/>
    <n v="31"/>
    <s v="Economia"/>
    <s v="FACE"/>
    <n v="1"/>
    <s v="T1"/>
    <s v="Disc2"/>
    <s v="Doc14"/>
    <n v="2"/>
    <n v="16.7"/>
    <n v="8.6"/>
    <n v="16.100000000000001"/>
    <n v="13.799999999999999"/>
    <n v="84"/>
    <n v="4"/>
    <s v="Aprovado"/>
    <s v="Nampula"/>
    <s v="Maputo"/>
    <s v="Não"/>
    <n v="2023"/>
    <s v="Pós"/>
    <s v="Noite"/>
    <s v="Ativo"/>
  </r>
  <r>
    <n v="77"/>
    <s v="Est 77"/>
    <s v="F"/>
    <n v="18"/>
    <s v="Gestão"/>
    <s v="FACE"/>
    <n v="1"/>
    <s v="T2"/>
    <s v="Disc11"/>
    <s v="Doc7"/>
    <n v="2"/>
    <n v="12.2"/>
    <n v="13.6"/>
    <n v="19.100000000000001"/>
    <n v="14.966666666666667"/>
    <n v="83"/>
    <n v="4"/>
    <s v="Aprovado"/>
    <s v="Beira"/>
    <s v="Maputo"/>
    <s v="Sim"/>
    <n v="2024"/>
    <s v="Laboral"/>
    <s v="Noite"/>
    <s v="Ativo"/>
  </r>
  <r>
    <n v="78"/>
    <s v="Est 78"/>
    <s v="M"/>
    <n v="20"/>
    <s v="Gestão"/>
    <s v="FACE"/>
    <n v="2"/>
    <s v="T2"/>
    <s v="Disc11"/>
    <s v="Doc3"/>
    <n v="1"/>
    <n v="15.8"/>
    <n v="8.1999999999999993"/>
    <n v="8.6"/>
    <n v="10.866666666666667"/>
    <n v="80"/>
    <n v="5"/>
    <s v="Aprovado"/>
    <s v="Nampula"/>
    <s v="Maputo"/>
    <s v="Sim"/>
    <n v="2024"/>
    <s v="Laboral"/>
    <s v="Noite"/>
    <s v="Ativo"/>
  </r>
  <r>
    <n v="79"/>
    <s v="Est 79"/>
    <s v="F"/>
    <n v="25"/>
    <s v="Gestão"/>
    <s v="FACE"/>
    <n v="4"/>
    <s v="T3"/>
    <s v="Disc2"/>
    <s v="Doc13"/>
    <n v="2"/>
    <n v="16.8"/>
    <n v="13.5"/>
    <n v="12.6"/>
    <n v="14.299999999999999"/>
    <n v="84"/>
    <n v="5"/>
    <s v="Aprovado"/>
    <s v="Nampula"/>
    <s v="Nampula"/>
    <s v="Sim"/>
    <n v="2025"/>
    <s v="Laboral"/>
    <s v="Noite"/>
    <s v="Ativo"/>
  </r>
  <r>
    <n v="80"/>
    <s v="Est 80"/>
    <s v="M"/>
    <n v="35"/>
    <s v="Gestão"/>
    <s v="FACE"/>
    <n v="2"/>
    <s v="T1"/>
    <s v="Disc4"/>
    <s v="Doc1"/>
    <n v="2"/>
    <n v="11.5"/>
    <n v="18"/>
    <n v="18"/>
    <n v="15.833333333333334"/>
    <n v="86"/>
    <n v="8"/>
    <s v="Aprovado"/>
    <s v="Maputo"/>
    <s v="Nampula"/>
    <s v="Não"/>
    <n v="2026"/>
    <s v="Pós"/>
    <s v="Manhã"/>
    <s v="Ativo"/>
  </r>
  <r>
    <n v="81"/>
    <s v="Est 81"/>
    <s v="F"/>
    <n v="33"/>
    <s v="Gestão"/>
    <s v="FACE"/>
    <n v="4"/>
    <s v="T4"/>
    <s v="Disc8"/>
    <s v="Doc3"/>
    <n v="1"/>
    <n v="15.3"/>
    <n v="17"/>
    <n v="15.5"/>
    <n v="15.933333333333332"/>
    <n v="78"/>
    <n v="8"/>
    <s v="Aprovado"/>
    <s v="Maputo"/>
    <s v="Sofala"/>
    <s v="Sim"/>
    <n v="2022"/>
    <s v="Pós"/>
    <s v="Noite"/>
    <s v="Ativo"/>
  </r>
  <r>
    <n v="82"/>
    <s v="Est 82"/>
    <s v="M"/>
    <n v="32"/>
    <s v="Contab."/>
    <s v="FACE"/>
    <n v="1"/>
    <s v="T2"/>
    <s v="Disc6"/>
    <s v="Doc3"/>
    <n v="2"/>
    <n v="12.4"/>
    <n v="8.8000000000000007"/>
    <n v="14.5"/>
    <n v="11.9"/>
    <n v="95"/>
    <n v="6"/>
    <s v="Aprovado"/>
    <s v="Beira"/>
    <s v="Maputo"/>
    <s v="Não"/>
    <n v="2024"/>
    <s v="Laboral"/>
    <s v="Noite"/>
    <s v="Ativo"/>
  </r>
  <r>
    <n v="83"/>
    <s v="Est 83"/>
    <s v="F"/>
    <n v="34"/>
    <s v="Gestão"/>
    <s v="FACE"/>
    <n v="2"/>
    <s v="T4"/>
    <s v="Disc10"/>
    <s v="Doc6"/>
    <n v="1"/>
    <n v="8.1"/>
    <n v="14.6"/>
    <n v="10.1"/>
    <n v="10.933333333333332"/>
    <n v="76"/>
    <n v="8"/>
    <s v="Aprovado"/>
    <s v="Beira"/>
    <s v="Nampula"/>
    <s v="Sim"/>
    <n v="2024"/>
    <s v="Pós"/>
    <s v="Noite"/>
    <s v="Ativo"/>
  </r>
  <r>
    <n v="84"/>
    <s v="Est 84"/>
    <s v="M"/>
    <n v="20"/>
    <s v="Economia"/>
    <s v="FACE"/>
    <n v="3"/>
    <s v="T2"/>
    <s v="Disc5"/>
    <s v="Doc6"/>
    <n v="1"/>
    <n v="10.5"/>
    <n v="17.600000000000001"/>
    <n v="18.2"/>
    <n v="15.433333333333332"/>
    <n v="87"/>
    <n v="6"/>
    <s v="Aprovado"/>
    <s v="Nampula"/>
    <s v="Nampula"/>
    <s v="Não"/>
    <n v="2026"/>
    <s v="Laboral"/>
    <s v="Noite"/>
    <s v="Ativo"/>
  </r>
  <r>
    <n v="85"/>
    <s v="Est 85"/>
    <s v="M"/>
    <n v="27"/>
    <s v="Contab."/>
    <s v="FACE"/>
    <n v="3"/>
    <s v="T2"/>
    <s v="Disc4"/>
    <s v="Doc5"/>
    <n v="2"/>
    <n v="9.5"/>
    <n v="8.4"/>
    <n v="14.7"/>
    <n v="10.866666666666665"/>
    <n v="91"/>
    <n v="6"/>
    <s v="Aprovado"/>
    <s v="Nampula"/>
    <s v="Sofala"/>
    <s v="Sim"/>
    <n v="2022"/>
    <s v="Laboral"/>
    <s v="Manhã"/>
    <s v="Ativo"/>
  </r>
  <r>
    <n v="86"/>
    <s v="Est 86"/>
    <s v="F"/>
    <n v="28"/>
    <s v="Gestão"/>
    <s v="FACE"/>
    <n v="1"/>
    <s v="T2"/>
    <s v="Disc1"/>
    <s v="Doc3"/>
    <n v="1"/>
    <n v="15.9"/>
    <n v="15.4"/>
    <n v="16.600000000000001"/>
    <n v="15.966666666666669"/>
    <n v="89"/>
    <n v="5"/>
    <s v="Aprovado"/>
    <s v="Nampula"/>
    <s v="Nampula"/>
    <s v="Não"/>
    <n v="2025"/>
    <s v="Laboral"/>
    <s v="Manhã"/>
    <s v="Ativo"/>
  </r>
  <r>
    <n v="87"/>
    <s v="Est 87"/>
    <s v="F"/>
    <n v="18"/>
    <s v="Contab."/>
    <s v="FACE"/>
    <n v="1"/>
    <s v="T1"/>
    <s v="Disc9"/>
    <s v="Doc6"/>
    <n v="1"/>
    <n v="11.9"/>
    <n v="13.7"/>
    <n v="9.9"/>
    <n v="11.833333333333334"/>
    <n v="74"/>
    <n v="7"/>
    <s v="Aprovado"/>
    <s v="Nampula"/>
    <s v="Maputo"/>
    <s v="Não"/>
    <n v="2025"/>
    <s v="Laboral"/>
    <s v="Noite"/>
    <s v="Ativo"/>
  </r>
  <r>
    <n v="88"/>
    <s v="Est 88"/>
    <s v="M"/>
    <n v="24"/>
    <s v="Gestão"/>
    <s v="FACE"/>
    <n v="4"/>
    <s v="T1"/>
    <s v="Disc9"/>
    <s v="Doc6"/>
    <n v="2"/>
    <n v="10.1"/>
    <n v="15.7"/>
    <n v="17.399999999999999"/>
    <n v="14.399999999999999"/>
    <n v="78"/>
    <n v="5"/>
    <s v="Aprovado"/>
    <s v="Beira"/>
    <s v="Nampula"/>
    <s v="Sim"/>
    <n v="2022"/>
    <s v="Pós"/>
    <s v="Noite"/>
    <s v="Ativo"/>
  </r>
  <r>
    <n v="89"/>
    <s v="Est 89"/>
    <s v="F"/>
    <n v="33"/>
    <s v="Gestão"/>
    <s v="FACE"/>
    <n v="2"/>
    <s v="T3"/>
    <s v="Disc10"/>
    <s v="Doc12"/>
    <n v="2"/>
    <n v="15.3"/>
    <n v="14"/>
    <n v="12.2"/>
    <n v="13.833333333333334"/>
    <n v="66"/>
    <n v="6"/>
    <s v="Aprovado"/>
    <s v="Maputo"/>
    <s v="Sofala"/>
    <s v="Não"/>
    <n v="2024"/>
    <s v="Laboral"/>
    <s v="Noite"/>
    <s v="Ativo"/>
  </r>
  <r>
    <n v="90"/>
    <s v="Est 90"/>
    <s v="F"/>
    <n v="31"/>
    <s v="Economia"/>
    <s v="FACE"/>
    <n v="2"/>
    <s v="T3"/>
    <s v="Disc6"/>
    <s v="Doc15"/>
    <n v="1"/>
    <n v="11.3"/>
    <n v="14.5"/>
    <n v="14.3"/>
    <n v="13.366666666666667"/>
    <n v="79"/>
    <n v="7"/>
    <s v="Aprovado"/>
    <s v="Nampula"/>
    <s v="Maputo"/>
    <s v="Não"/>
    <n v="2023"/>
    <s v="Pós"/>
    <s v="Noite"/>
    <s v="Ativo"/>
  </r>
  <r>
    <n v="91"/>
    <s v="Est 91"/>
    <s v="M"/>
    <n v="19"/>
    <s v="Economia"/>
    <s v="FACE"/>
    <n v="2"/>
    <s v="T3"/>
    <s v="Disc5"/>
    <s v="Doc11"/>
    <n v="2"/>
    <n v="14"/>
    <n v="14.5"/>
    <n v="19.8"/>
    <n v="16.099999999999998"/>
    <n v="63"/>
    <n v="6"/>
    <s v="Aprovado"/>
    <s v="Nampula"/>
    <s v="Nampula"/>
    <s v="Não"/>
    <n v="2026"/>
    <s v="Laboral"/>
    <s v="Manhã"/>
    <s v="Ativo"/>
  </r>
  <r>
    <n v="92"/>
    <s v="Est 92"/>
    <s v="F"/>
    <n v="28"/>
    <s v="Contab."/>
    <s v="FACE"/>
    <n v="1"/>
    <s v="T1"/>
    <s v="Disc3"/>
    <s v="Doc15"/>
    <n v="1"/>
    <n v="9.4"/>
    <n v="17.100000000000001"/>
    <n v="16.399999999999999"/>
    <n v="14.299999999999999"/>
    <n v="83"/>
    <n v="6"/>
    <s v="Aprovado"/>
    <s v="Nampula"/>
    <s v="Maputo"/>
    <s v="Não"/>
    <n v="2024"/>
    <s v="Laboral"/>
    <s v="Noite"/>
    <s v="Ativo"/>
  </r>
  <r>
    <n v="93"/>
    <s v="Est 93"/>
    <s v="F"/>
    <n v="30"/>
    <s v="Contab."/>
    <s v="FACE"/>
    <n v="2"/>
    <s v="T4"/>
    <s v="Disc8"/>
    <s v="Doc12"/>
    <n v="1"/>
    <n v="13.1"/>
    <n v="9.9"/>
    <n v="14.7"/>
    <n v="12.566666666666668"/>
    <n v="88"/>
    <n v="4"/>
    <s v="Aprovado"/>
    <s v="Maputo"/>
    <s v="Maputo"/>
    <s v="Sim"/>
    <n v="2024"/>
    <s v="Pós"/>
    <s v="Noite"/>
    <s v="Ativo"/>
  </r>
  <r>
    <n v="94"/>
    <s v="Est 94"/>
    <s v="M"/>
    <n v="34"/>
    <s v="Contab."/>
    <s v="FACE"/>
    <n v="2"/>
    <s v="T3"/>
    <s v="Disc5"/>
    <s v="Doc11"/>
    <n v="1"/>
    <n v="14.8"/>
    <n v="9.1999999999999993"/>
    <n v="8.1999999999999993"/>
    <n v="10.733333333333334"/>
    <n v="68"/>
    <n v="7"/>
    <s v="Aprovado"/>
    <s v="Beira"/>
    <s v="Maputo"/>
    <s v="Não"/>
    <n v="2022"/>
    <s v="Pós"/>
    <s v="Noite"/>
    <s v="Ativo"/>
  </r>
  <r>
    <n v="95"/>
    <s v="Est 95"/>
    <s v="M"/>
    <n v="18"/>
    <s v="Economia"/>
    <s v="FACE"/>
    <n v="1"/>
    <s v="T2"/>
    <s v="Disc2"/>
    <s v="Doc3"/>
    <n v="2"/>
    <n v="10.6"/>
    <n v="17.7"/>
    <n v="19.8"/>
    <n v="16.033333333333331"/>
    <n v="64"/>
    <n v="6"/>
    <s v="Aprovado"/>
    <s v="Beira"/>
    <s v="Nampula"/>
    <s v="Não"/>
    <n v="2022"/>
    <s v="Laboral"/>
    <s v="Noite"/>
    <s v="Ativo"/>
  </r>
  <r>
    <n v="96"/>
    <s v="Est 96"/>
    <s v="F"/>
    <n v="24"/>
    <s v="Contab."/>
    <s v="FACE"/>
    <n v="1"/>
    <s v="T2"/>
    <s v="Disc3"/>
    <s v="Doc14"/>
    <n v="2"/>
    <n v="12.4"/>
    <n v="13.2"/>
    <n v="19.3"/>
    <n v="14.966666666666669"/>
    <n v="68"/>
    <n v="8"/>
    <s v="Aprovado"/>
    <s v="Beira"/>
    <s v="Nampula"/>
    <s v="Sim"/>
    <n v="2022"/>
    <s v="Laboral"/>
    <s v="Noite"/>
    <s v="Ativo"/>
  </r>
  <r>
    <n v="97"/>
    <s v="Est 97"/>
    <s v="M"/>
    <n v="26"/>
    <s v="Contab."/>
    <s v="FACE"/>
    <n v="4"/>
    <s v="T3"/>
    <s v="Disc4"/>
    <s v="Doc4"/>
    <n v="2"/>
    <n v="16.600000000000001"/>
    <n v="9.1999999999999993"/>
    <n v="8.4"/>
    <n v="11.4"/>
    <n v="86"/>
    <n v="6"/>
    <s v="Aprovado"/>
    <s v="Nampula"/>
    <s v="Sofala"/>
    <s v="Não"/>
    <n v="2023"/>
    <s v="Pós"/>
    <s v="Noite"/>
    <s v="Ativo"/>
  </r>
  <r>
    <n v="98"/>
    <s v="Est 98"/>
    <s v="M"/>
    <n v="25"/>
    <s v="Contab."/>
    <s v="FACE"/>
    <n v="1"/>
    <s v="T3"/>
    <s v="Disc8"/>
    <s v="Doc11"/>
    <n v="2"/>
    <n v="11.9"/>
    <n v="13.3"/>
    <n v="11.7"/>
    <n v="12.300000000000002"/>
    <n v="83"/>
    <n v="7"/>
    <s v="Aprovado"/>
    <s v="Nampula"/>
    <s v="Nampula"/>
    <s v="Sim"/>
    <n v="2023"/>
    <s v="Laboral"/>
    <s v="Manhã"/>
    <s v="Ativo"/>
  </r>
  <r>
    <n v="99"/>
    <s v="Est 99"/>
    <s v="F"/>
    <n v="21"/>
    <s v="Economia"/>
    <s v="FACE"/>
    <n v="3"/>
    <s v="T3"/>
    <s v="Disc6"/>
    <s v="Doc7"/>
    <n v="1"/>
    <n v="15.2"/>
    <n v="10"/>
    <n v="15.1"/>
    <n v="13.433333333333332"/>
    <n v="64"/>
    <n v="7"/>
    <s v="Aprovado"/>
    <s v="Maputo"/>
    <s v="Sofala"/>
    <s v="Não"/>
    <n v="2023"/>
    <s v="Pós"/>
    <s v="Noite"/>
    <s v="Ativo"/>
  </r>
  <r>
    <n v="100"/>
    <s v="Est 100"/>
    <s v="M"/>
    <n v="29"/>
    <s v="Contab."/>
    <s v="FACE"/>
    <n v="2"/>
    <s v="T2"/>
    <s v="Disc10"/>
    <s v="Doc7"/>
    <n v="1"/>
    <n v="16.5"/>
    <n v="14.3"/>
    <n v="19.899999999999999"/>
    <n v="16.900000000000002"/>
    <n v="99"/>
    <n v="4"/>
    <s v="Aprovado"/>
    <s v="Beira"/>
    <s v="Maputo"/>
    <s v="Sim"/>
    <n v="2023"/>
    <s v="Pós"/>
    <s v="Manhã"/>
    <s v="Ativo"/>
  </r>
  <r>
    <n v="101"/>
    <s v="Est 101"/>
    <s v="M"/>
    <n v="18"/>
    <s v="Contab."/>
    <s v="FACE"/>
    <n v="2"/>
    <s v="T1"/>
    <s v="Disc1"/>
    <s v="Doc8"/>
    <n v="1"/>
    <n v="9.1999999999999993"/>
    <n v="15.6"/>
    <n v="15.6"/>
    <n v="13.466666666666667"/>
    <n v="67"/>
    <n v="4"/>
    <s v="Aprovado"/>
    <s v="Beira"/>
    <s v="Nampula"/>
    <s v="Não"/>
    <n v="2022"/>
    <s v="Laboral"/>
    <s v="Manhã"/>
    <s v="Ativo"/>
  </r>
  <r>
    <n v="102"/>
    <s v="Est 102"/>
    <s v="M"/>
    <n v="28"/>
    <s v="Contab."/>
    <s v="FACE"/>
    <n v="4"/>
    <s v="T3"/>
    <s v="Disc6"/>
    <s v="Doc13"/>
    <n v="1"/>
    <n v="11.6"/>
    <n v="14.2"/>
    <n v="13"/>
    <n v="12.933333333333332"/>
    <n v="76"/>
    <n v="4"/>
    <s v="Aprovado"/>
    <s v="Maputo"/>
    <s v="Nampula"/>
    <s v="Sim"/>
    <n v="2023"/>
    <s v="Pós"/>
    <s v="Manhã"/>
    <s v="Ativo"/>
  </r>
  <r>
    <n v="103"/>
    <s v="Est 103"/>
    <s v="F"/>
    <n v="34"/>
    <s v="Gestão"/>
    <s v="FACE"/>
    <n v="1"/>
    <s v="T2"/>
    <s v="Disc4"/>
    <s v="Doc5"/>
    <n v="1"/>
    <n v="15.6"/>
    <n v="11.6"/>
    <n v="19.600000000000001"/>
    <n v="15.6"/>
    <n v="98"/>
    <n v="4"/>
    <s v="Aprovado"/>
    <s v="Nampula"/>
    <s v="Sofala"/>
    <s v="Sim"/>
    <n v="2024"/>
    <s v="Laboral"/>
    <s v="Noite"/>
    <s v="Ativo"/>
  </r>
  <r>
    <n v="104"/>
    <s v="Est 104"/>
    <s v="M"/>
    <n v="23"/>
    <s v="Gestão"/>
    <s v="FACE"/>
    <n v="3"/>
    <s v="T3"/>
    <s v="Disc6"/>
    <s v="Doc12"/>
    <n v="1"/>
    <n v="10"/>
    <n v="13.5"/>
    <n v="14.2"/>
    <n v="12.566666666666668"/>
    <n v="66"/>
    <n v="5"/>
    <s v="Aprovado"/>
    <s v="Nampula"/>
    <s v="Nampula"/>
    <s v="Sim"/>
    <n v="2025"/>
    <s v="Laboral"/>
    <s v="Manhã"/>
    <s v="Ativo"/>
  </r>
  <r>
    <n v="105"/>
    <s v="Est 105"/>
    <s v="M"/>
    <n v="29"/>
    <s v="Contab."/>
    <s v="FACE"/>
    <n v="3"/>
    <s v="T4"/>
    <s v="Disc8"/>
    <s v="Doc13"/>
    <n v="2"/>
    <n v="12.1"/>
    <n v="17"/>
    <n v="19.399999999999999"/>
    <n v="16.166666666666668"/>
    <n v="97"/>
    <n v="6"/>
    <s v="Aprovado"/>
    <s v="Maputo"/>
    <s v="Maputo"/>
    <s v="Sim"/>
    <n v="2024"/>
    <s v="Laboral"/>
    <s v="Noite"/>
    <s v="Ativo"/>
  </r>
  <r>
    <n v="106"/>
    <s v="Est 106"/>
    <s v="F"/>
    <n v="21"/>
    <s v="Contab."/>
    <s v="FACE"/>
    <n v="3"/>
    <s v="T4"/>
    <s v="Disc4"/>
    <s v="Doc4"/>
    <n v="2"/>
    <n v="9.5"/>
    <n v="16.899999999999999"/>
    <n v="13.4"/>
    <n v="13.266666666666666"/>
    <n v="85"/>
    <n v="4"/>
    <s v="Aprovado"/>
    <s v="Nampula"/>
    <s v="Maputo"/>
    <s v="Sim"/>
    <n v="2023"/>
    <s v="Laboral"/>
    <s v="Manhã"/>
    <s v="Ativo"/>
  </r>
  <r>
    <n v="107"/>
    <s v="Est 107"/>
    <s v="F"/>
    <n v="28"/>
    <s v="Economia"/>
    <s v="FACE"/>
    <n v="3"/>
    <s v="T3"/>
    <s v="Disc8"/>
    <s v="Doc6"/>
    <n v="2"/>
    <n v="11.1"/>
    <n v="14.7"/>
    <n v="14.5"/>
    <n v="13.433333333333332"/>
    <n v="85"/>
    <n v="6"/>
    <s v="Aprovado"/>
    <s v="Maputo"/>
    <s v="Sofala"/>
    <s v="Não"/>
    <n v="2026"/>
    <s v="Pós"/>
    <s v="Manhã"/>
    <s v="Ativo"/>
  </r>
  <r>
    <n v="108"/>
    <s v="Est 108"/>
    <s v="M"/>
    <n v="26"/>
    <s v="Gestão"/>
    <s v="FACE"/>
    <n v="1"/>
    <s v="T2"/>
    <s v="Disc10"/>
    <s v="Doc4"/>
    <n v="1"/>
    <n v="14.7"/>
    <n v="13.3"/>
    <n v="9.8000000000000007"/>
    <n v="12.6"/>
    <n v="89"/>
    <n v="8"/>
    <s v="Aprovado"/>
    <s v="Maputo"/>
    <s v="Maputo"/>
    <s v="Não"/>
    <n v="2022"/>
    <s v="Laboral"/>
    <s v="Noite"/>
    <s v="Ativo"/>
  </r>
  <r>
    <n v="109"/>
    <s v="Est 109"/>
    <s v="M"/>
    <n v="28"/>
    <s v="Contab."/>
    <s v="FACE"/>
    <n v="3"/>
    <s v="T3"/>
    <s v="Disc3"/>
    <s v="Doc3"/>
    <n v="1"/>
    <n v="17.3"/>
    <n v="13.6"/>
    <n v="12"/>
    <n v="14.299999999999999"/>
    <n v="78"/>
    <n v="5"/>
    <s v="Aprovado"/>
    <s v="Beira"/>
    <s v="Sofala"/>
    <s v="Sim"/>
    <n v="2024"/>
    <s v="Laboral"/>
    <s v="Manhã"/>
    <s v="Ativo"/>
  </r>
  <r>
    <n v="110"/>
    <s v="Est 110"/>
    <s v="F"/>
    <n v="27"/>
    <s v="Gestão"/>
    <s v="FACE"/>
    <n v="1"/>
    <s v="T1"/>
    <s v="Disc11"/>
    <s v="Doc3"/>
    <n v="2"/>
    <n v="12.3"/>
    <n v="10.6"/>
    <n v="9.1"/>
    <n v="10.666666666666666"/>
    <n v="73"/>
    <n v="4"/>
    <s v="Aprovado"/>
    <s v="Beira"/>
    <s v="Maputo"/>
    <s v="Não"/>
    <n v="2023"/>
    <s v="Laboral"/>
    <s v="Noite"/>
    <s v="Ativo"/>
  </r>
  <r>
    <n v="111"/>
    <s v="Est 111"/>
    <s v="F"/>
    <n v="24"/>
    <s v="Gestão"/>
    <s v="FACE"/>
    <n v="4"/>
    <s v="T3"/>
    <s v="Disc4"/>
    <s v="Doc10"/>
    <n v="1"/>
    <n v="17.5"/>
    <n v="16.5"/>
    <n v="12.3"/>
    <n v="15.433333333333332"/>
    <n v="66"/>
    <n v="5"/>
    <s v="Aprovado"/>
    <s v="Beira"/>
    <s v="Sofala"/>
    <s v="Sim"/>
    <n v="2025"/>
    <s v="Laboral"/>
    <s v="Noite"/>
    <s v="Ativo"/>
  </r>
  <r>
    <n v="112"/>
    <s v="Est 112"/>
    <s v="M"/>
    <n v="25"/>
    <s v="Gestão"/>
    <s v="FACE"/>
    <n v="4"/>
    <s v="T2"/>
    <s v="Disc10"/>
    <s v="Doc7"/>
    <n v="2"/>
    <n v="8.5"/>
    <n v="12.5"/>
    <n v="11.4"/>
    <n v="10.799999999999999"/>
    <n v="80"/>
    <n v="5"/>
    <s v="Aprovado"/>
    <s v="Beira"/>
    <s v="Nampula"/>
    <s v="Sim"/>
    <n v="2023"/>
    <s v="Pós"/>
    <s v="Manhã"/>
    <s v="Ativo"/>
  </r>
  <r>
    <n v="113"/>
    <s v="Est 113"/>
    <s v="F"/>
    <n v="28"/>
    <s v="Contab."/>
    <s v="FACE"/>
    <n v="1"/>
    <s v="T3"/>
    <s v="Disc8"/>
    <s v="Doc4"/>
    <n v="2"/>
    <n v="8"/>
    <n v="14.2"/>
    <n v="16.600000000000001"/>
    <n v="12.933333333333332"/>
    <n v="79"/>
    <n v="5"/>
    <s v="Aprovado"/>
    <s v="Beira"/>
    <s v="Nampula"/>
    <s v="Sim"/>
    <n v="2023"/>
    <s v="Pós"/>
    <s v="Manhã"/>
    <s v="Ativo"/>
  </r>
  <r>
    <n v="114"/>
    <s v="Est 114"/>
    <s v="F"/>
    <n v="22"/>
    <s v="Gestão"/>
    <s v="FACE"/>
    <n v="4"/>
    <s v="T3"/>
    <s v="Disc8"/>
    <s v="Doc12"/>
    <n v="2"/>
    <n v="16.5"/>
    <n v="9"/>
    <n v="11.1"/>
    <n v="12.200000000000001"/>
    <n v="77"/>
    <n v="5"/>
    <s v="Aprovado"/>
    <s v="Beira"/>
    <s v="Sofala"/>
    <s v="Sim"/>
    <n v="2024"/>
    <s v="Pós"/>
    <s v="Manhã"/>
    <s v="Ativo"/>
  </r>
  <r>
    <n v="115"/>
    <s v="Est 115"/>
    <s v="F"/>
    <n v="25"/>
    <s v="Economia"/>
    <s v="FACE"/>
    <n v="2"/>
    <s v="T4"/>
    <s v="Disc11"/>
    <s v="Doc10"/>
    <n v="2"/>
    <n v="12.6"/>
    <n v="16.899999999999999"/>
    <n v="12.4"/>
    <n v="13.966666666666667"/>
    <n v="70"/>
    <n v="5"/>
    <s v="Aprovado"/>
    <s v="Nampula"/>
    <s v="Sofala"/>
    <s v="Não"/>
    <n v="2022"/>
    <s v="Laboral"/>
    <s v="Manhã"/>
    <s v="Ativo"/>
  </r>
  <r>
    <n v="116"/>
    <s v="Est 116"/>
    <s v="M"/>
    <n v="34"/>
    <s v="Economia"/>
    <s v="FACE"/>
    <n v="2"/>
    <s v="T4"/>
    <s v="Disc11"/>
    <s v="Doc14"/>
    <n v="1"/>
    <n v="13.7"/>
    <n v="12.9"/>
    <n v="8.5"/>
    <n v="11.700000000000001"/>
    <n v="65"/>
    <n v="7"/>
    <s v="Aprovado"/>
    <s v="Maputo"/>
    <s v="Maputo"/>
    <s v="Sim"/>
    <n v="2026"/>
    <s v="Laboral"/>
    <s v="Manhã"/>
    <s v="Ativo"/>
  </r>
  <r>
    <n v="117"/>
    <s v="Est 117"/>
    <s v="F"/>
    <n v="27"/>
    <s v="Contab."/>
    <s v="FACE"/>
    <n v="2"/>
    <s v="T3"/>
    <s v="Disc10"/>
    <s v="Doc4"/>
    <n v="2"/>
    <n v="11.9"/>
    <n v="13.8"/>
    <n v="14"/>
    <n v="13.233333333333334"/>
    <n v="77"/>
    <n v="4"/>
    <s v="Aprovado"/>
    <s v="Maputo"/>
    <s v="Sofala"/>
    <s v="Sim"/>
    <n v="2024"/>
    <s v="Laboral"/>
    <s v="Noite"/>
    <s v="Ativo"/>
  </r>
  <r>
    <n v="118"/>
    <s v="Est 118"/>
    <s v="F"/>
    <n v="29"/>
    <s v="Gestão"/>
    <s v="FACE"/>
    <n v="2"/>
    <s v="T3"/>
    <s v="Disc12"/>
    <s v="Doc5"/>
    <n v="2"/>
    <n v="8.5"/>
    <n v="11.8"/>
    <n v="8.4"/>
    <n v="9.5666666666666682"/>
    <n v="70"/>
    <n v="5"/>
    <s v="Reprovado"/>
    <s v="Nampula"/>
    <s v="Sofala"/>
    <s v="Não"/>
    <n v="2022"/>
    <s v="Laboral"/>
    <s v="Manhã"/>
    <s v="Ativo"/>
  </r>
  <r>
    <n v="119"/>
    <s v="Est 119"/>
    <s v="M"/>
    <n v="26"/>
    <s v="Economia"/>
    <s v="FACE"/>
    <n v="3"/>
    <s v="T2"/>
    <s v="Disc5"/>
    <s v="Doc5"/>
    <n v="2"/>
    <n v="13.9"/>
    <n v="12.3"/>
    <n v="13.3"/>
    <n v="13.166666666666666"/>
    <n v="98"/>
    <n v="4"/>
    <s v="Aprovado"/>
    <s v="Nampula"/>
    <s v="Sofala"/>
    <s v="Sim"/>
    <n v="2023"/>
    <s v="Pós"/>
    <s v="Manhã"/>
    <s v="Ativo"/>
  </r>
  <r>
    <n v="120"/>
    <s v="Est 120"/>
    <s v="M"/>
    <n v="24"/>
    <s v="Gestão"/>
    <s v="FACE"/>
    <n v="4"/>
    <s v="T2"/>
    <s v="Disc6"/>
    <s v="Doc13"/>
    <n v="2"/>
    <n v="17.899999999999999"/>
    <n v="11.9"/>
    <n v="10.3"/>
    <n v="13.366666666666665"/>
    <n v="76"/>
    <n v="8"/>
    <s v="Aprovado"/>
    <s v="Nampula"/>
    <s v="Sofala"/>
    <s v="Sim"/>
    <n v="2026"/>
    <s v="Pós"/>
    <s v="Manhã"/>
    <s v="Ativo"/>
  </r>
  <r>
    <n v="121"/>
    <s v="Est 121"/>
    <s v="F"/>
    <n v="34"/>
    <s v="Contab."/>
    <s v="FACE"/>
    <n v="3"/>
    <s v="T2"/>
    <s v="Disc2"/>
    <s v="Doc4"/>
    <n v="2"/>
    <n v="13.5"/>
    <n v="15.1"/>
    <n v="14.5"/>
    <n v="14.366666666666667"/>
    <n v="66"/>
    <n v="4"/>
    <s v="Aprovado"/>
    <s v="Nampula"/>
    <s v="Maputo"/>
    <s v="Sim"/>
    <n v="2025"/>
    <s v="Laboral"/>
    <s v="Manhã"/>
    <s v="Ativo"/>
  </r>
  <r>
    <n v="122"/>
    <s v="Est 122"/>
    <s v="M"/>
    <n v="19"/>
    <s v="Economia"/>
    <s v="FACE"/>
    <n v="1"/>
    <s v="T1"/>
    <s v="Disc3"/>
    <s v="Doc7"/>
    <n v="2"/>
    <n v="9.8000000000000007"/>
    <n v="9.4"/>
    <n v="19.3"/>
    <n v="12.833333333333334"/>
    <n v="90"/>
    <n v="4"/>
    <s v="Aprovado"/>
    <s v="Maputo"/>
    <s v="Maputo"/>
    <s v="Não"/>
    <n v="2023"/>
    <s v="Pós"/>
    <s v="Noite"/>
    <s v="Ativo"/>
  </r>
  <r>
    <n v="123"/>
    <s v="Est 123"/>
    <s v="F"/>
    <n v="21"/>
    <s v="Contab."/>
    <s v="FACE"/>
    <n v="4"/>
    <s v="T1"/>
    <s v="Disc6"/>
    <s v="Doc12"/>
    <n v="1"/>
    <n v="15.9"/>
    <n v="8.9"/>
    <n v="10.3"/>
    <n v="11.700000000000001"/>
    <n v="74"/>
    <n v="4"/>
    <s v="Aprovado"/>
    <s v="Nampula"/>
    <s v="Nampula"/>
    <s v="Sim"/>
    <n v="2025"/>
    <s v="Pós"/>
    <s v="Noite"/>
    <s v="Ativo"/>
  </r>
  <r>
    <n v="124"/>
    <s v="Est 124"/>
    <s v="M"/>
    <n v="23"/>
    <s v="Economia"/>
    <s v="FACE"/>
    <n v="4"/>
    <s v="T3"/>
    <s v="Disc11"/>
    <s v="Doc10"/>
    <n v="2"/>
    <n v="13.4"/>
    <n v="15"/>
    <n v="16.3"/>
    <n v="14.9"/>
    <n v="62"/>
    <n v="8"/>
    <s v="Aprovado"/>
    <s v="Beira"/>
    <s v="Sofala"/>
    <s v="Sim"/>
    <n v="2022"/>
    <s v="Laboral"/>
    <s v="Manhã"/>
    <s v="Ativo"/>
  </r>
  <r>
    <n v="125"/>
    <s v="Est 125"/>
    <s v="F"/>
    <n v="35"/>
    <s v="Contab."/>
    <s v="FACE"/>
    <n v="2"/>
    <s v="T2"/>
    <s v="Disc7"/>
    <s v="Doc15"/>
    <n v="2"/>
    <n v="9.5"/>
    <n v="8.4"/>
    <n v="16.600000000000001"/>
    <n v="11.5"/>
    <n v="79"/>
    <n v="5"/>
    <s v="Aprovado"/>
    <s v="Beira"/>
    <s v="Nampula"/>
    <s v="Não"/>
    <n v="2024"/>
    <s v="Laboral"/>
    <s v="Manhã"/>
    <s v="Ativo"/>
  </r>
  <r>
    <n v="126"/>
    <s v="Est 126"/>
    <s v="F"/>
    <n v="32"/>
    <s v="Contab."/>
    <s v="FACE"/>
    <n v="2"/>
    <s v="T3"/>
    <s v="Disc7"/>
    <s v="Doc6"/>
    <n v="2"/>
    <n v="16.899999999999999"/>
    <n v="11.9"/>
    <n v="13.3"/>
    <n v="14.033333333333331"/>
    <n v="90"/>
    <n v="5"/>
    <s v="Aprovado"/>
    <s v="Beira"/>
    <s v="Sofala"/>
    <s v="Não"/>
    <n v="2025"/>
    <s v="Pós"/>
    <s v="Noite"/>
    <s v="Ativo"/>
  </r>
  <r>
    <n v="127"/>
    <s v="Est 127"/>
    <s v="F"/>
    <n v="18"/>
    <s v="Gestão"/>
    <s v="FACE"/>
    <n v="1"/>
    <s v="T3"/>
    <s v="Disc7"/>
    <s v="Doc7"/>
    <n v="1"/>
    <n v="8.6"/>
    <n v="12.9"/>
    <n v="18.3"/>
    <n v="13.266666666666666"/>
    <n v="90"/>
    <n v="4"/>
    <s v="Aprovado"/>
    <s v="Maputo"/>
    <s v="Nampula"/>
    <s v="Sim"/>
    <n v="2022"/>
    <s v="Pós"/>
    <s v="Manhã"/>
    <s v="Ativo"/>
  </r>
  <r>
    <n v="128"/>
    <s v="Est 128"/>
    <s v="F"/>
    <n v="24"/>
    <s v="Contab."/>
    <s v="FACE"/>
    <n v="4"/>
    <s v="T1"/>
    <s v="Disc3"/>
    <s v="Doc4"/>
    <n v="1"/>
    <n v="10.4"/>
    <n v="8.4"/>
    <n v="10.6"/>
    <n v="9.7999999999999989"/>
    <n v="88"/>
    <n v="4"/>
    <s v="Reprovado"/>
    <s v="Beira"/>
    <s v="Nampula"/>
    <s v="Não"/>
    <n v="2023"/>
    <s v="Pós"/>
    <s v="Noite"/>
    <s v="Ativo"/>
  </r>
  <r>
    <n v="129"/>
    <s v="Est 129"/>
    <s v="M"/>
    <n v="22"/>
    <s v="Contab."/>
    <s v="FACE"/>
    <n v="4"/>
    <s v="T1"/>
    <s v="Disc8"/>
    <s v="Doc6"/>
    <n v="2"/>
    <n v="17.100000000000001"/>
    <n v="17.2"/>
    <n v="17.3"/>
    <n v="17.2"/>
    <n v="60"/>
    <n v="7"/>
    <s v="Aprovado"/>
    <s v="Maputo"/>
    <s v="Nampula"/>
    <s v="Sim"/>
    <n v="2025"/>
    <s v="Laboral"/>
    <s v="Noite"/>
    <s v="Ativo"/>
  </r>
  <r>
    <n v="130"/>
    <s v="Est 130"/>
    <s v="M"/>
    <n v="25"/>
    <s v="Gestão"/>
    <s v="FACE"/>
    <n v="4"/>
    <s v="T1"/>
    <s v="Disc10"/>
    <s v="Doc6"/>
    <n v="2"/>
    <n v="9.6999999999999993"/>
    <n v="16.399999999999999"/>
    <n v="14.8"/>
    <n v="13.633333333333333"/>
    <n v="63"/>
    <n v="6"/>
    <s v="Aprovado"/>
    <s v="Maputo"/>
    <s v="Sofala"/>
    <s v="Não"/>
    <n v="2026"/>
    <s v="Pós"/>
    <s v="Manhã"/>
    <s v="Ativo"/>
  </r>
  <r>
    <n v="131"/>
    <s v="Est 131"/>
    <s v="M"/>
    <n v="19"/>
    <s v="Gestão"/>
    <s v="FACE"/>
    <n v="4"/>
    <s v="T2"/>
    <s v="Disc3"/>
    <s v="Doc2"/>
    <n v="2"/>
    <n v="13.8"/>
    <n v="11.5"/>
    <n v="12.8"/>
    <n v="12.700000000000001"/>
    <n v="66"/>
    <n v="4"/>
    <s v="Aprovado"/>
    <s v="Maputo"/>
    <s v="Maputo"/>
    <s v="Sim"/>
    <n v="2022"/>
    <s v="Laboral"/>
    <s v="Manhã"/>
    <s v="Ativo"/>
  </r>
  <r>
    <n v="132"/>
    <s v="Est 132"/>
    <s v="F"/>
    <n v="29"/>
    <s v="Economia"/>
    <s v="FACE"/>
    <n v="4"/>
    <s v="T3"/>
    <s v="Disc5"/>
    <s v="Doc9"/>
    <n v="1"/>
    <n v="15.3"/>
    <n v="17.100000000000001"/>
    <n v="12.9"/>
    <n v="15.100000000000001"/>
    <n v="97"/>
    <n v="8"/>
    <s v="Aprovado"/>
    <s v="Maputo"/>
    <s v="Sofala"/>
    <s v="Não"/>
    <n v="2024"/>
    <s v="Laboral"/>
    <s v="Noite"/>
    <s v="Ativo"/>
  </r>
  <r>
    <n v="133"/>
    <s v="Est 133"/>
    <s v="M"/>
    <n v="24"/>
    <s v="Economia"/>
    <s v="FACE"/>
    <n v="4"/>
    <s v="T2"/>
    <s v="Disc12"/>
    <s v="Doc4"/>
    <n v="2"/>
    <n v="11.3"/>
    <n v="11.1"/>
    <n v="15.5"/>
    <n v="12.633333333333333"/>
    <n v="90"/>
    <n v="4"/>
    <s v="Aprovado"/>
    <s v="Nampula"/>
    <s v="Nampula"/>
    <s v="Sim"/>
    <n v="2023"/>
    <s v="Laboral"/>
    <s v="Manhã"/>
    <s v="Ativo"/>
  </r>
  <r>
    <n v="134"/>
    <s v="Est 134"/>
    <s v="M"/>
    <n v="20"/>
    <s v="Gestão"/>
    <s v="FACE"/>
    <n v="1"/>
    <s v="T1"/>
    <s v="Disc8"/>
    <s v="Doc14"/>
    <n v="2"/>
    <n v="15.6"/>
    <n v="11.2"/>
    <n v="17.3"/>
    <n v="14.699999999999998"/>
    <n v="87"/>
    <n v="4"/>
    <s v="Aprovado"/>
    <s v="Beira"/>
    <s v="Nampula"/>
    <s v="Sim"/>
    <n v="2022"/>
    <s v="Laboral"/>
    <s v="Manhã"/>
    <s v="Ativo"/>
  </r>
  <r>
    <n v="135"/>
    <s v="Est 135"/>
    <s v="F"/>
    <n v="20"/>
    <s v="Gestão"/>
    <s v="FACE"/>
    <n v="4"/>
    <s v="T4"/>
    <s v="Disc10"/>
    <s v="Doc10"/>
    <n v="1"/>
    <n v="8.4"/>
    <n v="13.7"/>
    <n v="8.6999999999999993"/>
    <n v="10.266666666666667"/>
    <n v="80"/>
    <n v="6"/>
    <s v="Aprovado"/>
    <s v="Beira"/>
    <s v="Nampula"/>
    <s v="Sim"/>
    <n v="2025"/>
    <s v="Laboral"/>
    <s v="Noite"/>
    <s v="Ativo"/>
  </r>
  <r>
    <n v="136"/>
    <s v="Est 136"/>
    <s v="M"/>
    <n v="25"/>
    <s v="Economia"/>
    <s v="FACE"/>
    <n v="4"/>
    <s v="T1"/>
    <s v="Disc4"/>
    <s v="Doc11"/>
    <n v="1"/>
    <n v="10.3"/>
    <n v="16.8"/>
    <n v="18.3"/>
    <n v="15.133333333333335"/>
    <n v="100"/>
    <n v="6"/>
    <s v="Aprovado"/>
    <s v="Maputo"/>
    <s v="Sofala"/>
    <s v="Sim"/>
    <n v="2022"/>
    <s v="Pós"/>
    <s v="Manhã"/>
    <s v="Ativo"/>
  </r>
  <r>
    <n v="137"/>
    <s v="Est 137"/>
    <s v="F"/>
    <n v="18"/>
    <s v="Gestão"/>
    <s v="FACE"/>
    <n v="2"/>
    <s v="T1"/>
    <s v="Disc9"/>
    <s v="Doc15"/>
    <n v="2"/>
    <n v="8.8000000000000007"/>
    <n v="17.100000000000001"/>
    <n v="18.5"/>
    <n v="14.800000000000002"/>
    <n v="90"/>
    <n v="7"/>
    <s v="Aprovado"/>
    <s v="Nampula"/>
    <s v="Sofala"/>
    <s v="Sim"/>
    <n v="2024"/>
    <s v="Laboral"/>
    <s v="Noite"/>
    <s v="Ativo"/>
  </r>
  <r>
    <n v="138"/>
    <s v="Est 138"/>
    <s v="M"/>
    <n v="27"/>
    <s v="Economia"/>
    <s v="FACE"/>
    <n v="2"/>
    <s v="T4"/>
    <s v="Disc3"/>
    <s v="Doc1"/>
    <n v="2"/>
    <n v="12.5"/>
    <n v="9.1999999999999993"/>
    <n v="19.3"/>
    <n v="13.666666666666666"/>
    <n v="81"/>
    <n v="7"/>
    <s v="Aprovado"/>
    <s v="Maputo"/>
    <s v="Maputo"/>
    <s v="Não"/>
    <n v="2026"/>
    <s v="Pós"/>
    <s v="Manhã"/>
    <s v="Ativo"/>
  </r>
  <r>
    <n v="139"/>
    <s v="Est 139"/>
    <s v="M"/>
    <n v="18"/>
    <s v="Contab."/>
    <s v="FACE"/>
    <n v="2"/>
    <s v="T3"/>
    <s v="Disc10"/>
    <s v="Doc3"/>
    <n v="2"/>
    <n v="10.6"/>
    <n v="16.399999999999999"/>
    <n v="12.3"/>
    <n v="13.1"/>
    <n v="84"/>
    <n v="8"/>
    <s v="Aprovado"/>
    <s v="Beira"/>
    <s v="Sofala"/>
    <s v="Não"/>
    <n v="2024"/>
    <s v="Laboral"/>
    <s v="Noite"/>
    <s v="Ativo"/>
  </r>
  <r>
    <n v="140"/>
    <s v="Est 140"/>
    <s v="M"/>
    <n v="32"/>
    <s v="Contab."/>
    <s v="FACE"/>
    <n v="2"/>
    <s v="T4"/>
    <s v="Disc4"/>
    <s v="Doc9"/>
    <n v="2"/>
    <n v="14.2"/>
    <n v="12"/>
    <n v="11"/>
    <n v="12.4"/>
    <n v="79"/>
    <n v="7"/>
    <s v="Aprovado"/>
    <s v="Maputo"/>
    <s v="Maputo"/>
    <s v="Não"/>
    <n v="2023"/>
    <s v="Pós"/>
    <s v="Manhã"/>
    <s v="Ativo"/>
  </r>
  <r>
    <n v="141"/>
    <s v="Est 141"/>
    <s v="M"/>
    <n v="35"/>
    <s v="Gestão"/>
    <s v="FACE"/>
    <n v="4"/>
    <s v="T4"/>
    <s v="Disc9"/>
    <s v="Doc6"/>
    <n v="2"/>
    <n v="9.1"/>
    <n v="13.3"/>
    <n v="12.9"/>
    <n v="11.766666666666666"/>
    <n v="90"/>
    <n v="4"/>
    <s v="Aprovado"/>
    <s v="Maputo"/>
    <s v="Nampula"/>
    <s v="Sim"/>
    <n v="2023"/>
    <s v="Pós"/>
    <s v="Noite"/>
    <s v="Ativo"/>
  </r>
  <r>
    <n v="142"/>
    <s v="Est 142"/>
    <s v="M"/>
    <n v="18"/>
    <s v="Contab."/>
    <s v="FACE"/>
    <n v="2"/>
    <s v="T4"/>
    <s v="Disc1"/>
    <s v="Doc6"/>
    <n v="1"/>
    <n v="17.5"/>
    <n v="8.8000000000000007"/>
    <n v="13.3"/>
    <n v="13.200000000000001"/>
    <n v="68"/>
    <n v="8"/>
    <s v="Aprovado"/>
    <s v="Nampula"/>
    <s v="Nampula"/>
    <s v="Não"/>
    <n v="2024"/>
    <s v="Pós"/>
    <s v="Manhã"/>
    <s v="Ativo"/>
  </r>
  <r>
    <n v="143"/>
    <s v="Est 143"/>
    <s v="F"/>
    <n v="24"/>
    <s v="Economia"/>
    <s v="FACE"/>
    <n v="4"/>
    <s v="T3"/>
    <s v="Disc8"/>
    <s v="Doc5"/>
    <n v="2"/>
    <n v="17.399999999999999"/>
    <n v="16.3"/>
    <n v="11.4"/>
    <n v="15.033333333333333"/>
    <n v="65"/>
    <n v="5"/>
    <s v="Aprovado"/>
    <s v="Nampula"/>
    <s v="Maputo"/>
    <s v="Sim"/>
    <n v="2024"/>
    <s v="Pós"/>
    <s v="Manhã"/>
    <s v="Ativo"/>
  </r>
  <r>
    <n v="144"/>
    <s v="Est 144"/>
    <s v="F"/>
    <n v="22"/>
    <s v="Gestão"/>
    <s v="FACE"/>
    <n v="2"/>
    <s v="T2"/>
    <s v="Disc2"/>
    <s v="Doc13"/>
    <n v="2"/>
    <n v="17.100000000000001"/>
    <n v="11.1"/>
    <n v="16.100000000000001"/>
    <n v="14.766666666666667"/>
    <n v="82"/>
    <n v="7"/>
    <s v="Aprovado"/>
    <s v="Maputo"/>
    <s v="Sofala"/>
    <s v="Não"/>
    <n v="2024"/>
    <s v="Pós"/>
    <s v="Manhã"/>
    <s v="Ativo"/>
  </r>
  <r>
    <n v="145"/>
    <s v="Est 145"/>
    <s v="F"/>
    <n v="21"/>
    <s v="Contab."/>
    <s v="FACE"/>
    <n v="2"/>
    <s v="T2"/>
    <s v="Disc7"/>
    <s v="Doc11"/>
    <n v="2"/>
    <n v="9.9"/>
    <n v="9.9"/>
    <n v="19.3"/>
    <n v="13.033333333333333"/>
    <n v="68"/>
    <n v="4"/>
    <s v="Aprovado"/>
    <s v="Maputo"/>
    <s v="Sofala"/>
    <s v="Não"/>
    <n v="2023"/>
    <s v="Laboral"/>
    <s v="Noite"/>
    <s v="Ativo"/>
  </r>
  <r>
    <n v="146"/>
    <s v="Est 146"/>
    <s v="M"/>
    <n v="26"/>
    <s v="Economia"/>
    <s v="FACE"/>
    <n v="1"/>
    <s v="T2"/>
    <s v="Disc11"/>
    <s v="Doc9"/>
    <n v="1"/>
    <n v="14.2"/>
    <n v="14.8"/>
    <n v="14.8"/>
    <n v="14.6"/>
    <n v="77"/>
    <n v="6"/>
    <s v="Aprovado"/>
    <s v="Beira"/>
    <s v="Maputo"/>
    <s v="Sim"/>
    <n v="2022"/>
    <s v="Laboral"/>
    <s v="Manhã"/>
    <s v="Ativo"/>
  </r>
  <r>
    <n v="147"/>
    <s v="Est 147"/>
    <s v="M"/>
    <n v="27"/>
    <s v="Contab."/>
    <s v="FACE"/>
    <n v="1"/>
    <s v="T4"/>
    <s v="Disc2"/>
    <s v="Doc6"/>
    <n v="1"/>
    <n v="16.7"/>
    <n v="10.4"/>
    <n v="16.600000000000001"/>
    <n v="14.566666666666668"/>
    <n v="75"/>
    <n v="4"/>
    <s v="Aprovado"/>
    <s v="Beira"/>
    <s v="Sofala"/>
    <s v="Sim"/>
    <n v="2024"/>
    <s v="Pós"/>
    <s v="Noite"/>
    <s v="Ativo"/>
  </r>
  <r>
    <n v="148"/>
    <s v="Est 148"/>
    <s v="F"/>
    <n v="24"/>
    <s v="Contab."/>
    <s v="FACE"/>
    <n v="3"/>
    <s v="T1"/>
    <s v="Disc8"/>
    <s v="Doc4"/>
    <n v="2"/>
    <n v="10.3"/>
    <n v="14.3"/>
    <n v="13.5"/>
    <n v="12.700000000000001"/>
    <n v="98"/>
    <n v="5"/>
    <s v="Aprovado"/>
    <s v="Beira"/>
    <s v="Maputo"/>
    <s v="Sim"/>
    <n v="2026"/>
    <s v="Pós"/>
    <s v="Noite"/>
    <s v="Ativo"/>
  </r>
  <r>
    <n v="149"/>
    <s v="Est 149"/>
    <s v="M"/>
    <n v="33"/>
    <s v="Contab."/>
    <s v="FACE"/>
    <n v="4"/>
    <s v="T4"/>
    <s v="Disc10"/>
    <s v="Doc15"/>
    <n v="2"/>
    <n v="9.8000000000000007"/>
    <n v="10.4"/>
    <n v="19.100000000000001"/>
    <n v="13.100000000000001"/>
    <n v="76"/>
    <n v="5"/>
    <s v="Aprovado"/>
    <s v="Nampula"/>
    <s v="Nampula"/>
    <s v="Sim"/>
    <n v="2022"/>
    <s v="Pós"/>
    <s v="Noite"/>
    <s v="Ativo"/>
  </r>
  <r>
    <n v="150"/>
    <s v="Est 150"/>
    <s v="M"/>
    <n v="18"/>
    <s v="Contab."/>
    <s v="FACE"/>
    <n v="3"/>
    <s v="T2"/>
    <s v="Disc11"/>
    <s v="Doc5"/>
    <n v="2"/>
    <n v="12"/>
    <n v="8.5"/>
    <n v="12.4"/>
    <n v="10.966666666666667"/>
    <n v="90"/>
    <n v="8"/>
    <s v="Aprovado"/>
    <s v="Beira"/>
    <s v="Maputo"/>
    <s v="Não"/>
    <n v="2026"/>
    <s v="Pós"/>
    <s v="Manhã"/>
    <s v="Ativ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ela dinâmica5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0" rowHeaderCaption="Curso">
  <location ref="A21:C23" firstHeaderRow="0" firstDataRow="1" firstDataCol="1"/>
  <pivotFields count="25">
    <pivotField showAll="0"/>
    <pivotField showAll="0"/>
    <pivotField showAll="0"/>
    <pivotField showAll="0"/>
    <pivotField axis="axisRow"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showAll="0">
      <items count="13">
        <item x="11"/>
        <item x="4"/>
        <item x="3"/>
        <item x="1"/>
        <item x="9"/>
        <item x="7"/>
        <item x="8"/>
        <item x="0"/>
        <item x="10"/>
        <item x="2"/>
        <item x="6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 Média" fld="14" baseField="0" baseItem="0"/>
    <dataField name="Frequencia" fld="15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4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>
  <location ref="A10:B13" firstHeaderRow="1" firstDataRow="1" firstDataCol="1"/>
  <pivotFields count="25">
    <pivotField showAll="0"/>
    <pivotField showAll="0"/>
    <pivotField showAll="0"/>
    <pivotField showAll="0"/>
    <pivotField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7"/>
  </rowFields>
  <rowItems count="3">
    <i>
      <x/>
    </i>
    <i>
      <x v="1"/>
    </i>
    <i t="grand">
      <x/>
    </i>
  </rowItems>
  <colItems count="1">
    <i/>
  </colItems>
  <dataFields count="1">
    <dataField name="Contagem de Situação" fld="17" subtotal="count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3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">
  <location ref="A16:B18" firstHeaderRow="1" firstDataRow="1" firstDataCol="1"/>
  <pivotFields count="25">
    <pivotField showAll="0"/>
    <pivotField showAll="0"/>
    <pivotField showAll="0"/>
    <pivotField showAll="0"/>
    <pivotField axis="axisRow" dataField="1"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2">
    <i>
      <x v="2"/>
    </i>
    <i t="grand">
      <x/>
    </i>
  </rowItems>
  <colItems count="1">
    <i/>
  </colItems>
  <dataFields count="1">
    <dataField name="Contagem de Curso" fld="4" subtotal="count" baseField="0" baseItem="0"/>
  </dataFields>
  <formats count="20"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4" type="button" dataOnly="0" labelOnly="1" outline="0" axis="axisRow" fieldPosition="0"/>
    </format>
    <format dxfId="19">
      <pivotArea dataOnly="0" labelOnly="1" outline="0" axis="axisValues" fieldPosition="0"/>
    </format>
    <format dxfId="18">
      <pivotArea dataOnly="0" labelOnly="1" fieldPosition="0">
        <references count="1">
          <reference field="4" count="0"/>
        </references>
      </pivotArea>
    </format>
    <format dxfId="17">
      <pivotArea dataOnly="0" labelOnly="1" grandRow="1" outline="0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4" type="button" dataOnly="0" labelOnly="1" outline="0" axis="axisRow" fieldPosition="0"/>
    </format>
    <format dxfId="13">
      <pivotArea dataOnly="0" labelOnly="1" outline="0" axis="axisValues" fieldPosition="0"/>
    </format>
    <format dxfId="12">
      <pivotArea dataOnly="0" labelOnly="1" fieldPosition="0">
        <references count="1">
          <reference field="4" count="0"/>
        </references>
      </pivotArea>
    </format>
    <format dxfId="11">
      <pivotArea dataOnly="0" labelOnly="1" grandRow="1" outline="0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4" type="button" dataOnly="0" labelOnly="1" outline="0" axis="axisRow" fieldPosition="0"/>
    </format>
    <format dxfId="7">
      <pivotArea dataOnly="0" labelOnly="1" outline="0" axis="axisValues" fieldPosition="0"/>
    </format>
    <format dxfId="6">
      <pivotArea dataOnly="0" labelOnly="1" grandRow="1" outline="0" fieldPosition="0"/>
    </format>
    <format dxfId="5">
      <pivotArea dataOnly="0" labelOnly="1" fieldPosition="0">
        <references count="1">
          <reference field="4" count="0"/>
        </references>
      </pivotArea>
    </format>
    <format dxfId="4">
      <pivotArea dataOnly="0" labelOnly="1" fieldPosition="0">
        <references count="1">
          <reference field="4" count="0"/>
        </references>
      </pivotArea>
    </format>
    <format dxfId="3">
      <pivotArea collapsedLevelsAreSubtotals="1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8">
  <location ref="A3:B6" firstHeaderRow="1" firstDataRow="1" firstDataCol="1"/>
  <pivotFields count="25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>
      <items count="4">
        <item h="1" x="2"/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ntagem de Sexo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4" cacheId="18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 rowHeaderCaption="SEXO">
  <location ref="A3:B6" firstHeaderRow="1" firstDataRow="1" firstDataCol="1"/>
  <pivotFields count="25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x="11"/>
        <item x="4"/>
        <item x="3"/>
        <item x="1"/>
        <item x="9"/>
        <item x="7"/>
        <item x="8"/>
        <item x="0"/>
        <item x="10"/>
        <item x="2"/>
        <item x="6"/>
        <item x="5"/>
        <item t="default"/>
      </items>
    </pivotField>
    <pivotField showAll="0">
      <items count="16">
        <item h="1" x="9"/>
        <item h="1" x="6"/>
        <item h="1" x="4"/>
        <item x="11"/>
        <item h="1" x="7"/>
        <item h="1" x="12"/>
        <item h="1" x="5"/>
        <item h="1" x="1"/>
        <item h="1" x="3"/>
        <item h="1" x="10"/>
        <item h="1" x="2"/>
        <item h="1" x="0"/>
        <item h="1" x="8"/>
        <item h="1" x="14"/>
        <item h="1"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VALOR" fld="2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ela dinâmica6" cacheId="22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A3:C20" firstHeaderRow="1" firstDataRow="1" firstDataCol="0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" sourceName="Curso">
  <pivotTables>
    <pivotTable tabId="7" name="Tabela dinâmica1"/>
    <pivotTable tabId="7" name="Tabela dinâmica3"/>
    <pivotTable tabId="7" name="Tabela dinâmica4"/>
    <pivotTable tabId="7" name="Tabela dinâmica5"/>
  </pivotTables>
  <data>
    <tabular pivotCacheId="1">
      <items count="3">
        <i x="2"/>
        <i x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exo" sourceName="Sexo">
  <pivotTables>
    <pivotTable tabId="11" name="Tabela dinâmica4"/>
  </pivotTables>
  <data>
    <tabular pivotCacheId="2">
      <items count="2"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1" sourceName="Curso">
  <pivotTables>
    <pivotTable tabId="11" name="Tabela dinâmica4"/>
  </pivotTables>
  <data>
    <tabular pivotCacheId="2">
      <items count="3">
        <i x="2" s="1"/>
        <i x="1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" sourceName="Ano">
  <pivotTables>
    <pivotTable tabId="11" name="Tabela dinâmica4"/>
  </pivotTables>
  <data>
    <tabular pivotCacheId="2">
      <items count="4">
        <i x="3" s="1"/>
        <i x="2" s="1"/>
        <i x="1" s="1"/>
        <i x="0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" sourceName="Disciplina">
  <pivotTables>
    <pivotTable tabId="11" name="Tabela dinâmica4"/>
  </pivotTables>
  <data>
    <tabular pivotCacheId="2">
      <items count="12">
        <i x="4" s="1"/>
        <i x="3" s="1"/>
        <i x="1" s="1"/>
        <i x="8" s="1"/>
        <i x="10" s="1"/>
        <i x="6" s="1"/>
        <i x="11" s="1" nd="1"/>
        <i x="9" s="1" nd="1"/>
        <i x="7" s="1" nd="1"/>
        <i x="0" s="1" nd="1"/>
        <i x="2" s="1" nd="1"/>
        <i x="5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ocente" sourceName="Docente">
  <pivotTables>
    <pivotTable tabId="11" name="Tabela dinâmica4"/>
  </pivotTables>
  <data>
    <tabular pivotCacheId="2">
      <items count="15">
        <i x="9"/>
        <i x="6"/>
        <i x="4"/>
        <i x="11" s="1"/>
        <i x="7"/>
        <i x="12"/>
        <i x="5"/>
        <i x="1"/>
        <i x="3"/>
        <i x="10"/>
        <i x="2"/>
        <i x="0"/>
        <i x="8"/>
        <i x="14"/>
        <i x="13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urso" cache="SegmentaçãodeDados_Curso" caption="Curso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exo" cache="SegmentaçãodeDados_Sexo" caption="Sexo" rowHeight="241300"/>
  <slicer name="Curso 1" cache="SegmentaçãodeDados_Curso1" caption="Curso" rowHeight="241300"/>
  <slicer name="Ano" cache="SegmentaçãodeDados_Ano" caption="Ano" rowHeight="241300"/>
  <slicer name="Disciplina" cache="SegmentaçãodeDados_Disciplina" caption="Disciplina" rowHeight="241300"/>
  <slicer name="Docente" cache="SegmentaçãodeDados_Docente" caption="Docente" rowHeight="241300"/>
</slicers>
</file>

<file path=xl/tables/table1.xml><?xml version="1.0" encoding="utf-8"?>
<table xmlns="http://schemas.openxmlformats.org/spreadsheetml/2006/main" id="1" name="Tabela1" displayName="Tabela1" ref="A1:Y53" totalsRowShown="0">
  <autoFilter ref="A1:Y53"/>
  <tableColumns count="25">
    <tableColumn id="1" name="ID"/>
    <tableColumn id="2" name="Estudante"/>
    <tableColumn id="3" name="Sexo"/>
    <tableColumn id="4" name="Idade"/>
    <tableColumn id="5" name="Curso"/>
    <tableColumn id="6" name="Faculdade"/>
    <tableColumn id="7" name="Ano"/>
    <tableColumn id="8" name="Turma"/>
    <tableColumn id="9" name="Disciplina"/>
    <tableColumn id="10" name="Docente"/>
    <tableColumn id="11" name="Sem"/>
    <tableColumn id="12" name="Teste1"/>
    <tableColumn id="13" name="Teste2"/>
    <tableColumn id="14" name="Exame"/>
    <tableColumn id="15" name="Média"/>
    <tableColumn id="16" name="Freq"/>
    <tableColumn id="17" name="Créd"/>
    <tableColumn id="18" name="Situação"/>
    <tableColumn id="19" name="Cidade"/>
    <tableColumn id="20" name="Província"/>
    <tableColumn id="21" name="Bolsa"/>
    <tableColumn id="22" name="Ingresso"/>
    <tableColumn id="23" name="Regime"/>
    <tableColumn id="24" name="Turno"/>
    <tableColumn id="25" name="Esta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</v>
      </c>
      <c r="B2" t="s">
        <v>25</v>
      </c>
      <c r="C2">
        <v>2026</v>
      </c>
      <c r="D2">
        <v>1</v>
      </c>
      <c r="E2">
        <v>1</v>
      </c>
      <c r="F2">
        <v>1</v>
      </c>
      <c r="G2" t="s">
        <v>26</v>
      </c>
      <c r="H2" t="s">
        <v>27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35</v>
      </c>
      <c r="R2">
        <v>10</v>
      </c>
      <c r="S2">
        <v>15000</v>
      </c>
      <c r="T2">
        <v>5</v>
      </c>
      <c r="U2">
        <v>150000</v>
      </c>
      <c r="V2">
        <v>120000</v>
      </c>
      <c r="W2">
        <v>30000</v>
      </c>
      <c r="X2" t="s">
        <v>36</v>
      </c>
      <c r="Y2" t="s">
        <v>37</v>
      </c>
    </row>
    <row r="3" spans="1:25" x14ac:dyDescent="0.25">
      <c r="A3">
        <v>2</v>
      </c>
      <c r="B3" t="s">
        <v>38</v>
      </c>
      <c r="C3">
        <v>2026</v>
      </c>
      <c r="D3">
        <v>1</v>
      </c>
      <c r="E3">
        <v>1</v>
      </c>
      <c r="F3">
        <v>1</v>
      </c>
      <c r="G3" t="s">
        <v>39</v>
      </c>
      <c r="H3" t="s">
        <v>40</v>
      </c>
      <c r="I3" t="s">
        <v>27</v>
      </c>
      <c r="J3" t="s">
        <v>41</v>
      </c>
      <c r="K3" t="s">
        <v>42</v>
      </c>
      <c r="L3" t="s">
        <v>43</v>
      </c>
      <c r="M3" t="s">
        <v>31</v>
      </c>
      <c r="N3" t="s">
        <v>44</v>
      </c>
      <c r="O3" t="s">
        <v>33</v>
      </c>
      <c r="P3" t="s">
        <v>34</v>
      </c>
      <c r="Q3" t="s">
        <v>45</v>
      </c>
      <c r="R3">
        <v>2</v>
      </c>
      <c r="S3">
        <v>15000</v>
      </c>
      <c r="T3">
        <v>10</v>
      </c>
      <c r="U3">
        <v>30000</v>
      </c>
      <c r="V3">
        <v>24000</v>
      </c>
      <c r="W3">
        <v>6000</v>
      </c>
      <c r="X3" t="s">
        <v>46</v>
      </c>
      <c r="Y3" t="s">
        <v>37</v>
      </c>
    </row>
    <row r="4" spans="1:25" x14ac:dyDescent="0.25">
      <c r="A4">
        <v>3</v>
      </c>
      <c r="B4" t="s">
        <v>47</v>
      </c>
      <c r="C4">
        <v>2026</v>
      </c>
      <c r="D4">
        <v>1</v>
      </c>
      <c r="E4">
        <v>1</v>
      </c>
      <c r="F4">
        <v>1</v>
      </c>
      <c r="G4" t="s">
        <v>48</v>
      </c>
      <c r="H4" t="s">
        <v>49</v>
      </c>
      <c r="I4" t="s">
        <v>27</v>
      </c>
      <c r="J4" t="s">
        <v>41</v>
      </c>
      <c r="K4" t="s">
        <v>50</v>
      </c>
      <c r="L4" t="s">
        <v>43</v>
      </c>
      <c r="M4" t="s">
        <v>51</v>
      </c>
      <c r="N4" t="s">
        <v>44</v>
      </c>
      <c r="O4" t="s">
        <v>52</v>
      </c>
      <c r="P4" t="s">
        <v>34</v>
      </c>
      <c r="Q4" t="s">
        <v>45</v>
      </c>
      <c r="R4">
        <v>2</v>
      </c>
      <c r="S4">
        <v>1800</v>
      </c>
      <c r="T4">
        <v>10</v>
      </c>
      <c r="U4">
        <v>3600</v>
      </c>
      <c r="V4">
        <v>2880</v>
      </c>
      <c r="W4">
        <v>720</v>
      </c>
      <c r="X4" t="s">
        <v>36</v>
      </c>
      <c r="Y4" t="s">
        <v>37</v>
      </c>
    </row>
    <row r="5" spans="1:25" x14ac:dyDescent="0.25">
      <c r="A5">
        <v>4</v>
      </c>
      <c r="B5" t="s">
        <v>53</v>
      </c>
      <c r="C5">
        <v>2026</v>
      </c>
      <c r="D5">
        <v>1</v>
      </c>
      <c r="E5">
        <v>1</v>
      </c>
      <c r="F5">
        <v>1</v>
      </c>
      <c r="G5" t="s">
        <v>48</v>
      </c>
      <c r="H5" t="s">
        <v>27</v>
      </c>
      <c r="I5" t="s">
        <v>27</v>
      </c>
      <c r="J5" t="s">
        <v>41</v>
      </c>
      <c r="K5" t="s">
        <v>29</v>
      </c>
      <c r="L5" t="s">
        <v>43</v>
      </c>
      <c r="M5" t="s">
        <v>54</v>
      </c>
      <c r="N5" t="s">
        <v>44</v>
      </c>
      <c r="O5" t="s">
        <v>55</v>
      </c>
      <c r="P5" t="s">
        <v>34</v>
      </c>
      <c r="Q5" t="s">
        <v>56</v>
      </c>
      <c r="R5">
        <v>1</v>
      </c>
      <c r="S5">
        <v>60000</v>
      </c>
      <c r="T5">
        <v>5</v>
      </c>
      <c r="U5">
        <v>60000</v>
      </c>
      <c r="V5">
        <v>48000</v>
      </c>
      <c r="W5">
        <v>12000</v>
      </c>
      <c r="X5" t="s">
        <v>57</v>
      </c>
      <c r="Y5" t="s">
        <v>37</v>
      </c>
    </row>
    <row r="6" spans="1:25" x14ac:dyDescent="0.25">
      <c r="A6">
        <v>5</v>
      </c>
      <c r="B6" t="s">
        <v>58</v>
      </c>
      <c r="C6">
        <v>2026</v>
      </c>
      <c r="D6">
        <v>1</v>
      </c>
      <c r="E6">
        <v>1</v>
      </c>
      <c r="F6">
        <v>2</v>
      </c>
      <c r="G6" t="s">
        <v>26</v>
      </c>
      <c r="H6" t="s">
        <v>40</v>
      </c>
      <c r="I6" t="s">
        <v>27</v>
      </c>
      <c r="J6" t="s">
        <v>59</v>
      </c>
      <c r="K6" t="s">
        <v>42</v>
      </c>
      <c r="L6" t="s">
        <v>43</v>
      </c>
      <c r="M6" t="s">
        <v>60</v>
      </c>
      <c r="N6" t="s">
        <v>32</v>
      </c>
      <c r="O6" t="s">
        <v>61</v>
      </c>
      <c r="P6" t="s">
        <v>34</v>
      </c>
      <c r="Q6" t="s">
        <v>56</v>
      </c>
      <c r="R6">
        <v>2</v>
      </c>
      <c r="S6">
        <v>1500</v>
      </c>
      <c r="T6">
        <v>10</v>
      </c>
      <c r="U6">
        <v>3000</v>
      </c>
      <c r="V6">
        <v>2400</v>
      </c>
      <c r="W6">
        <v>600</v>
      </c>
      <c r="X6" t="s">
        <v>57</v>
      </c>
      <c r="Y6" t="s">
        <v>37</v>
      </c>
    </row>
    <row r="7" spans="1:25" x14ac:dyDescent="0.25">
      <c r="A7">
        <v>6</v>
      </c>
      <c r="B7" t="s">
        <v>62</v>
      </c>
      <c r="C7">
        <v>2026</v>
      </c>
      <c r="D7">
        <v>1</v>
      </c>
      <c r="E7">
        <v>1</v>
      </c>
      <c r="F7">
        <v>2</v>
      </c>
      <c r="G7" t="s">
        <v>48</v>
      </c>
      <c r="H7" t="s">
        <v>49</v>
      </c>
      <c r="I7" t="s">
        <v>49</v>
      </c>
      <c r="J7" t="s">
        <v>41</v>
      </c>
      <c r="K7" t="s">
        <v>50</v>
      </c>
      <c r="L7" t="s">
        <v>30</v>
      </c>
      <c r="M7" t="s">
        <v>63</v>
      </c>
      <c r="N7" t="s">
        <v>44</v>
      </c>
      <c r="O7" t="s">
        <v>52</v>
      </c>
      <c r="P7" t="s">
        <v>34</v>
      </c>
      <c r="Q7" t="s">
        <v>64</v>
      </c>
      <c r="R7">
        <v>8</v>
      </c>
      <c r="S7">
        <v>1800</v>
      </c>
      <c r="T7">
        <v>5</v>
      </c>
      <c r="U7">
        <v>14400</v>
      </c>
      <c r="V7">
        <v>11520</v>
      </c>
      <c r="W7">
        <v>2880</v>
      </c>
      <c r="X7" t="s">
        <v>57</v>
      </c>
      <c r="Y7" t="s">
        <v>37</v>
      </c>
    </row>
    <row r="8" spans="1:25" x14ac:dyDescent="0.25">
      <c r="A8">
        <v>7</v>
      </c>
      <c r="B8" t="s">
        <v>65</v>
      </c>
      <c r="C8">
        <v>2026</v>
      </c>
      <c r="D8">
        <v>1</v>
      </c>
      <c r="E8">
        <v>1</v>
      </c>
      <c r="F8">
        <v>2</v>
      </c>
      <c r="G8" t="s">
        <v>48</v>
      </c>
      <c r="H8" t="s">
        <v>27</v>
      </c>
      <c r="I8" t="s">
        <v>66</v>
      </c>
      <c r="J8" t="s">
        <v>41</v>
      </c>
      <c r="K8" t="s">
        <v>29</v>
      </c>
      <c r="L8" t="s">
        <v>30</v>
      </c>
      <c r="M8" t="s">
        <v>67</v>
      </c>
      <c r="N8" t="s">
        <v>44</v>
      </c>
      <c r="O8" t="s">
        <v>33</v>
      </c>
      <c r="P8" t="s">
        <v>34</v>
      </c>
      <c r="Q8" t="s">
        <v>64</v>
      </c>
      <c r="R8">
        <v>9</v>
      </c>
      <c r="S8">
        <v>15000</v>
      </c>
      <c r="T8">
        <v>10</v>
      </c>
      <c r="U8">
        <v>135000</v>
      </c>
      <c r="V8">
        <v>108000</v>
      </c>
      <c r="W8">
        <v>27000</v>
      </c>
      <c r="X8" t="s">
        <v>46</v>
      </c>
      <c r="Y8" t="s">
        <v>37</v>
      </c>
    </row>
    <row r="9" spans="1:25" x14ac:dyDescent="0.25">
      <c r="A9">
        <v>8</v>
      </c>
      <c r="B9" t="s">
        <v>68</v>
      </c>
      <c r="C9">
        <v>2026</v>
      </c>
      <c r="D9">
        <v>1</v>
      </c>
      <c r="E9">
        <v>1</v>
      </c>
      <c r="F9">
        <v>2</v>
      </c>
      <c r="G9" t="s">
        <v>26</v>
      </c>
      <c r="H9" t="s">
        <v>40</v>
      </c>
      <c r="I9" t="s">
        <v>49</v>
      </c>
      <c r="J9" t="s">
        <v>59</v>
      </c>
      <c r="K9" t="s">
        <v>50</v>
      </c>
      <c r="L9" t="s">
        <v>43</v>
      </c>
      <c r="M9" t="s">
        <v>69</v>
      </c>
      <c r="N9" t="s">
        <v>44</v>
      </c>
      <c r="O9" t="s">
        <v>52</v>
      </c>
      <c r="P9" t="s">
        <v>34</v>
      </c>
      <c r="Q9" t="s">
        <v>64</v>
      </c>
      <c r="R9">
        <v>6</v>
      </c>
      <c r="S9">
        <v>1800</v>
      </c>
      <c r="T9">
        <v>10</v>
      </c>
      <c r="U9">
        <v>10800</v>
      </c>
      <c r="V9">
        <v>8640</v>
      </c>
      <c r="W9">
        <v>2160</v>
      </c>
      <c r="X9" t="s">
        <v>36</v>
      </c>
      <c r="Y9" t="s">
        <v>37</v>
      </c>
    </row>
    <row r="10" spans="1:25" x14ac:dyDescent="0.25">
      <c r="A10">
        <v>9</v>
      </c>
      <c r="B10" t="s">
        <v>70</v>
      </c>
      <c r="C10">
        <v>2026</v>
      </c>
      <c r="D10">
        <v>1</v>
      </c>
      <c r="E10">
        <v>1</v>
      </c>
      <c r="F10">
        <v>2</v>
      </c>
      <c r="G10" t="s">
        <v>26</v>
      </c>
      <c r="H10" t="s">
        <v>27</v>
      </c>
      <c r="I10" t="s">
        <v>27</v>
      </c>
      <c r="J10" t="s">
        <v>59</v>
      </c>
      <c r="K10" t="s">
        <v>42</v>
      </c>
      <c r="L10" t="s">
        <v>43</v>
      </c>
      <c r="M10" t="s">
        <v>71</v>
      </c>
      <c r="N10" t="s">
        <v>44</v>
      </c>
      <c r="O10" t="s">
        <v>55</v>
      </c>
      <c r="P10" t="s">
        <v>34</v>
      </c>
      <c r="Q10" t="s">
        <v>56</v>
      </c>
      <c r="R10">
        <v>10</v>
      </c>
      <c r="S10">
        <v>60000</v>
      </c>
      <c r="T10">
        <v>0</v>
      </c>
      <c r="U10">
        <v>600000</v>
      </c>
      <c r="V10">
        <v>480000</v>
      </c>
      <c r="W10">
        <v>120000</v>
      </c>
      <c r="X10" t="s">
        <v>57</v>
      </c>
      <c r="Y10" t="s">
        <v>37</v>
      </c>
    </row>
    <row r="11" spans="1:25" x14ac:dyDescent="0.25">
      <c r="A11">
        <v>10</v>
      </c>
      <c r="B11" t="s">
        <v>72</v>
      </c>
      <c r="C11">
        <v>2026</v>
      </c>
      <c r="D11">
        <v>1</v>
      </c>
      <c r="E11">
        <v>1</v>
      </c>
      <c r="F11">
        <v>2</v>
      </c>
      <c r="G11" t="s">
        <v>48</v>
      </c>
      <c r="H11" t="s">
        <v>27</v>
      </c>
      <c r="I11" t="s">
        <v>49</v>
      </c>
      <c r="J11" t="s">
        <v>41</v>
      </c>
      <c r="K11" t="s">
        <v>42</v>
      </c>
      <c r="L11" t="s">
        <v>30</v>
      </c>
      <c r="M11" t="s">
        <v>73</v>
      </c>
      <c r="N11" t="s">
        <v>32</v>
      </c>
      <c r="O11" t="s">
        <v>55</v>
      </c>
      <c r="P11" t="s">
        <v>34</v>
      </c>
      <c r="Q11" t="s">
        <v>45</v>
      </c>
      <c r="R11">
        <v>5</v>
      </c>
      <c r="S11">
        <v>60000</v>
      </c>
      <c r="T11">
        <v>10</v>
      </c>
      <c r="U11">
        <v>300000</v>
      </c>
      <c r="V11">
        <v>240000</v>
      </c>
      <c r="W11">
        <v>60000</v>
      </c>
      <c r="X11" t="s">
        <v>57</v>
      </c>
      <c r="Y11" t="s">
        <v>37</v>
      </c>
    </row>
    <row r="12" spans="1:25" x14ac:dyDescent="0.25">
      <c r="A12">
        <v>11</v>
      </c>
      <c r="B12" t="s">
        <v>74</v>
      </c>
      <c r="C12">
        <v>2026</v>
      </c>
      <c r="D12">
        <v>1</v>
      </c>
      <c r="E12">
        <v>1</v>
      </c>
      <c r="F12">
        <v>2</v>
      </c>
      <c r="G12" t="s">
        <v>26</v>
      </c>
      <c r="H12" t="s">
        <v>27</v>
      </c>
      <c r="I12" t="s">
        <v>66</v>
      </c>
      <c r="J12" t="s">
        <v>41</v>
      </c>
      <c r="K12" t="s">
        <v>75</v>
      </c>
      <c r="L12" t="s">
        <v>43</v>
      </c>
      <c r="M12" t="s">
        <v>76</v>
      </c>
      <c r="N12" t="s">
        <v>32</v>
      </c>
      <c r="O12" t="s">
        <v>77</v>
      </c>
      <c r="P12" t="s">
        <v>34</v>
      </c>
      <c r="Q12" t="s">
        <v>56</v>
      </c>
      <c r="R12">
        <v>3</v>
      </c>
      <c r="S12">
        <v>12000</v>
      </c>
      <c r="T12">
        <v>0</v>
      </c>
      <c r="U12">
        <v>36000</v>
      </c>
      <c r="V12">
        <v>28800</v>
      </c>
      <c r="W12">
        <v>7200</v>
      </c>
      <c r="X12" t="s">
        <v>57</v>
      </c>
      <c r="Y12" t="s">
        <v>37</v>
      </c>
    </row>
    <row r="13" spans="1:25" x14ac:dyDescent="0.25">
      <c r="A13">
        <v>12</v>
      </c>
      <c r="B13" t="s">
        <v>78</v>
      </c>
      <c r="C13">
        <v>2026</v>
      </c>
      <c r="D13">
        <v>1</v>
      </c>
      <c r="E13">
        <v>1</v>
      </c>
      <c r="F13">
        <v>3</v>
      </c>
      <c r="G13" t="s">
        <v>39</v>
      </c>
      <c r="H13" t="s">
        <v>40</v>
      </c>
      <c r="I13" t="s">
        <v>66</v>
      </c>
      <c r="J13" t="s">
        <v>28</v>
      </c>
      <c r="K13" t="s">
        <v>50</v>
      </c>
      <c r="L13" t="s">
        <v>43</v>
      </c>
      <c r="M13" t="s">
        <v>69</v>
      </c>
      <c r="N13" t="s">
        <v>32</v>
      </c>
      <c r="O13" t="s">
        <v>61</v>
      </c>
      <c r="P13" t="s">
        <v>34</v>
      </c>
      <c r="Q13" t="s">
        <v>56</v>
      </c>
      <c r="R13">
        <v>6</v>
      </c>
      <c r="S13">
        <v>1500</v>
      </c>
      <c r="T13">
        <v>5</v>
      </c>
      <c r="U13">
        <v>9000</v>
      </c>
      <c r="V13">
        <v>7200</v>
      </c>
      <c r="W13">
        <v>1800</v>
      </c>
      <c r="X13" t="s">
        <v>46</v>
      </c>
      <c r="Y13" t="s">
        <v>37</v>
      </c>
    </row>
    <row r="14" spans="1:25" x14ac:dyDescent="0.25">
      <c r="A14">
        <v>13</v>
      </c>
      <c r="B14" t="s">
        <v>79</v>
      </c>
      <c r="C14">
        <v>2026</v>
      </c>
      <c r="D14">
        <v>1</v>
      </c>
      <c r="E14">
        <v>1</v>
      </c>
      <c r="F14">
        <v>3</v>
      </c>
      <c r="G14" t="s">
        <v>48</v>
      </c>
      <c r="H14" t="s">
        <v>27</v>
      </c>
      <c r="I14" t="s">
        <v>27</v>
      </c>
      <c r="J14" t="s">
        <v>59</v>
      </c>
      <c r="K14" t="s">
        <v>50</v>
      </c>
      <c r="L14" t="s">
        <v>30</v>
      </c>
      <c r="M14" t="s">
        <v>80</v>
      </c>
      <c r="N14" t="s">
        <v>44</v>
      </c>
      <c r="O14" t="s">
        <v>61</v>
      </c>
      <c r="P14" t="s">
        <v>34</v>
      </c>
      <c r="Q14" t="s">
        <v>64</v>
      </c>
      <c r="R14">
        <v>7</v>
      </c>
      <c r="S14">
        <v>1500</v>
      </c>
      <c r="T14">
        <v>0</v>
      </c>
      <c r="U14">
        <v>10500</v>
      </c>
      <c r="V14">
        <v>8400</v>
      </c>
      <c r="W14">
        <v>2100</v>
      </c>
      <c r="X14" t="s">
        <v>36</v>
      </c>
      <c r="Y14" t="s">
        <v>37</v>
      </c>
    </row>
    <row r="15" spans="1:25" x14ac:dyDescent="0.25">
      <c r="A15">
        <v>14</v>
      </c>
      <c r="B15" t="s">
        <v>81</v>
      </c>
      <c r="C15">
        <v>2026</v>
      </c>
      <c r="D15">
        <v>1</v>
      </c>
      <c r="E15">
        <v>1</v>
      </c>
      <c r="F15">
        <v>3</v>
      </c>
      <c r="G15" t="s">
        <v>39</v>
      </c>
      <c r="H15" t="s">
        <v>40</v>
      </c>
      <c r="I15" t="s">
        <v>49</v>
      </c>
      <c r="J15" t="s">
        <v>28</v>
      </c>
      <c r="K15" t="s">
        <v>29</v>
      </c>
      <c r="L15" t="s">
        <v>30</v>
      </c>
      <c r="M15" t="s">
        <v>82</v>
      </c>
      <c r="N15" t="s">
        <v>32</v>
      </c>
      <c r="O15" t="s">
        <v>33</v>
      </c>
      <c r="P15" t="s">
        <v>34</v>
      </c>
      <c r="Q15" t="s">
        <v>35</v>
      </c>
      <c r="R15">
        <v>3</v>
      </c>
      <c r="S15">
        <v>15000</v>
      </c>
      <c r="T15">
        <v>10</v>
      </c>
      <c r="U15">
        <v>45000</v>
      </c>
      <c r="V15">
        <v>36000</v>
      </c>
      <c r="W15">
        <v>9000</v>
      </c>
      <c r="X15" t="s">
        <v>46</v>
      </c>
      <c r="Y15" t="s">
        <v>37</v>
      </c>
    </row>
    <row r="16" spans="1:25" x14ac:dyDescent="0.25">
      <c r="A16">
        <v>15</v>
      </c>
      <c r="B16" t="s">
        <v>83</v>
      </c>
      <c r="C16">
        <v>2026</v>
      </c>
      <c r="D16">
        <v>1</v>
      </c>
      <c r="E16">
        <v>1</v>
      </c>
      <c r="F16">
        <v>3</v>
      </c>
      <c r="G16" t="s">
        <v>39</v>
      </c>
      <c r="H16" t="s">
        <v>40</v>
      </c>
      <c r="I16" t="s">
        <v>49</v>
      </c>
      <c r="J16" t="s">
        <v>28</v>
      </c>
      <c r="K16" t="s">
        <v>42</v>
      </c>
      <c r="L16" t="s">
        <v>30</v>
      </c>
      <c r="M16" t="s">
        <v>76</v>
      </c>
      <c r="N16" t="s">
        <v>44</v>
      </c>
      <c r="O16" t="s">
        <v>33</v>
      </c>
      <c r="P16" t="s">
        <v>34</v>
      </c>
      <c r="Q16" t="s">
        <v>64</v>
      </c>
      <c r="R16">
        <v>10</v>
      </c>
      <c r="S16">
        <v>15000</v>
      </c>
      <c r="T16">
        <v>10</v>
      </c>
      <c r="U16">
        <v>150000</v>
      </c>
      <c r="V16">
        <v>120000</v>
      </c>
      <c r="W16">
        <v>30000</v>
      </c>
      <c r="X16" t="s">
        <v>46</v>
      </c>
      <c r="Y16" t="s">
        <v>37</v>
      </c>
    </row>
    <row r="17" spans="1:25" x14ac:dyDescent="0.25">
      <c r="A17">
        <v>16</v>
      </c>
      <c r="B17" t="s">
        <v>84</v>
      </c>
      <c r="C17">
        <v>2026</v>
      </c>
      <c r="D17">
        <v>1</v>
      </c>
      <c r="E17">
        <v>1</v>
      </c>
      <c r="F17">
        <v>3</v>
      </c>
      <c r="G17" t="s">
        <v>26</v>
      </c>
      <c r="H17" t="s">
        <v>27</v>
      </c>
      <c r="I17" t="s">
        <v>66</v>
      </c>
      <c r="J17" t="s">
        <v>59</v>
      </c>
      <c r="K17" t="s">
        <v>29</v>
      </c>
      <c r="L17" t="s">
        <v>30</v>
      </c>
      <c r="M17" t="s">
        <v>85</v>
      </c>
      <c r="N17" t="s">
        <v>32</v>
      </c>
      <c r="O17" t="s">
        <v>77</v>
      </c>
      <c r="P17" t="s">
        <v>34</v>
      </c>
      <c r="Q17" t="s">
        <v>35</v>
      </c>
      <c r="R17">
        <v>8</v>
      </c>
      <c r="S17">
        <v>12000</v>
      </c>
      <c r="T17">
        <v>0</v>
      </c>
      <c r="U17">
        <v>96000</v>
      </c>
      <c r="V17">
        <v>76800</v>
      </c>
      <c r="W17">
        <v>19200</v>
      </c>
      <c r="X17" t="s">
        <v>36</v>
      </c>
      <c r="Y17" t="s">
        <v>37</v>
      </c>
    </row>
    <row r="18" spans="1:25" x14ac:dyDescent="0.25">
      <c r="A18">
        <v>17</v>
      </c>
      <c r="B18" t="s">
        <v>86</v>
      </c>
      <c r="C18">
        <v>2026</v>
      </c>
      <c r="D18">
        <v>1</v>
      </c>
      <c r="E18">
        <v>1</v>
      </c>
      <c r="F18">
        <v>3</v>
      </c>
      <c r="G18" t="s">
        <v>39</v>
      </c>
      <c r="H18" t="s">
        <v>40</v>
      </c>
      <c r="I18" t="s">
        <v>66</v>
      </c>
      <c r="J18" t="s">
        <v>41</v>
      </c>
      <c r="K18" t="s">
        <v>29</v>
      </c>
      <c r="L18" t="s">
        <v>30</v>
      </c>
      <c r="M18" t="s">
        <v>87</v>
      </c>
      <c r="N18" t="s">
        <v>32</v>
      </c>
      <c r="O18" t="s">
        <v>77</v>
      </c>
      <c r="P18" t="s">
        <v>34</v>
      </c>
      <c r="Q18" t="s">
        <v>56</v>
      </c>
      <c r="R18">
        <v>6</v>
      </c>
      <c r="S18">
        <v>12000</v>
      </c>
      <c r="T18">
        <v>10</v>
      </c>
      <c r="U18">
        <v>72000</v>
      </c>
      <c r="V18">
        <v>57600</v>
      </c>
      <c r="W18">
        <v>14400</v>
      </c>
      <c r="X18" t="s">
        <v>46</v>
      </c>
      <c r="Y18" t="s">
        <v>37</v>
      </c>
    </row>
    <row r="19" spans="1:25" x14ac:dyDescent="0.25">
      <c r="A19">
        <v>18</v>
      </c>
      <c r="B19" t="s">
        <v>88</v>
      </c>
      <c r="C19">
        <v>2026</v>
      </c>
      <c r="D19">
        <v>1</v>
      </c>
      <c r="E19">
        <v>1</v>
      </c>
      <c r="F19">
        <v>3</v>
      </c>
      <c r="G19" t="s">
        <v>39</v>
      </c>
      <c r="H19" t="s">
        <v>27</v>
      </c>
      <c r="I19" t="s">
        <v>49</v>
      </c>
      <c r="J19" t="s">
        <v>41</v>
      </c>
      <c r="K19" t="s">
        <v>42</v>
      </c>
      <c r="L19" t="s">
        <v>30</v>
      </c>
      <c r="M19" t="s">
        <v>89</v>
      </c>
      <c r="N19" t="s">
        <v>44</v>
      </c>
      <c r="O19" t="s">
        <v>33</v>
      </c>
      <c r="P19" t="s">
        <v>34</v>
      </c>
      <c r="Q19" t="s">
        <v>45</v>
      </c>
      <c r="R19">
        <v>8</v>
      </c>
      <c r="S19">
        <v>15000</v>
      </c>
      <c r="T19">
        <v>5</v>
      </c>
      <c r="U19">
        <v>120000</v>
      </c>
      <c r="V19">
        <v>96000</v>
      </c>
      <c r="W19">
        <v>24000</v>
      </c>
      <c r="X19" t="s">
        <v>36</v>
      </c>
      <c r="Y19" t="s">
        <v>37</v>
      </c>
    </row>
    <row r="20" spans="1:25" x14ac:dyDescent="0.25">
      <c r="A20">
        <v>19</v>
      </c>
      <c r="B20" t="s">
        <v>90</v>
      </c>
      <c r="C20">
        <v>2026</v>
      </c>
      <c r="D20">
        <v>1</v>
      </c>
      <c r="E20">
        <v>1</v>
      </c>
      <c r="F20">
        <v>4</v>
      </c>
      <c r="G20" t="s">
        <v>39</v>
      </c>
      <c r="H20" t="s">
        <v>49</v>
      </c>
      <c r="I20" t="s">
        <v>49</v>
      </c>
      <c r="J20" t="s">
        <v>59</v>
      </c>
      <c r="K20" t="s">
        <v>42</v>
      </c>
      <c r="L20" t="s">
        <v>43</v>
      </c>
      <c r="M20" t="s">
        <v>51</v>
      </c>
      <c r="N20" t="s">
        <v>32</v>
      </c>
      <c r="O20" t="s">
        <v>55</v>
      </c>
      <c r="P20" t="s">
        <v>34</v>
      </c>
      <c r="Q20" t="s">
        <v>64</v>
      </c>
      <c r="R20">
        <v>3</v>
      </c>
      <c r="S20">
        <v>60000</v>
      </c>
      <c r="T20">
        <v>5</v>
      </c>
      <c r="U20">
        <v>180000</v>
      </c>
      <c r="V20">
        <v>144000</v>
      </c>
      <c r="W20">
        <v>36000</v>
      </c>
      <c r="X20" t="s">
        <v>46</v>
      </c>
      <c r="Y20" t="s">
        <v>37</v>
      </c>
    </row>
    <row r="21" spans="1:25" x14ac:dyDescent="0.25">
      <c r="A21">
        <v>20</v>
      </c>
      <c r="B21" t="s">
        <v>91</v>
      </c>
      <c r="C21">
        <v>2026</v>
      </c>
      <c r="D21">
        <v>1</v>
      </c>
      <c r="E21">
        <v>1</v>
      </c>
      <c r="F21">
        <v>4</v>
      </c>
      <c r="G21" t="s">
        <v>39</v>
      </c>
      <c r="H21" t="s">
        <v>40</v>
      </c>
      <c r="I21" t="s">
        <v>66</v>
      </c>
      <c r="J21" t="s">
        <v>59</v>
      </c>
      <c r="K21" t="s">
        <v>75</v>
      </c>
      <c r="L21" t="s">
        <v>30</v>
      </c>
      <c r="M21" t="s">
        <v>92</v>
      </c>
      <c r="N21" t="s">
        <v>32</v>
      </c>
      <c r="O21" t="s">
        <v>77</v>
      </c>
      <c r="P21" t="s">
        <v>34</v>
      </c>
      <c r="Q21" t="s">
        <v>56</v>
      </c>
      <c r="R21">
        <v>3</v>
      </c>
      <c r="S21">
        <v>12000</v>
      </c>
      <c r="T21">
        <v>5</v>
      </c>
      <c r="U21">
        <v>36000</v>
      </c>
      <c r="V21">
        <v>28800</v>
      </c>
      <c r="W21">
        <v>7200</v>
      </c>
      <c r="X21" t="s">
        <v>57</v>
      </c>
      <c r="Y21" t="s">
        <v>37</v>
      </c>
    </row>
    <row r="22" spans="1:25" x14ac:dyDescent="0.25">
      <c r="A22">
        <v>21</v>
      </c>
      <c r="B22" t="s">
        <v>93</v>
      </c>
      <c r="C22">
        <v>2026</v>
      </c>
      <c r="D22">
        <v>1</v>
      </c>
      <c r="E22">
        <v>1</v>
      </c>
      <c r="F22">
        <v>4</v>
      </c>
      <c r="G22" t="s">
        <v>48</v>
      </c>
      <c r="H22" t="s">
        <v>49</v>
      </c>
      <c r="I22" t="s">
        <v>27</v>
      </c>
      <c r="J22" t="s">
        <v>59</v>
      </c>
      <c r="K22" t="s">
        <v>50</v>
      </c>
      <c r="L22" t="s">
        <v>30</v>
      </c>
      <c r="M22" t="s">
        <v>54</v>
      </c>
      <c r="N22" t="s">
        <v>32</v>
      </c>
      <c r="O22" t="s">
        <v>52</v>
      </c>
      <c r="P22" t="s">
        <v>34</v>
      </c>
      <c r="Q22" t="s">
        <v>64</v>
      </c>
      <c r="R22">
        <v>9</v>
      </c>
      <c r="S22">
        <v>1800</v>
      </c>
      <c r="T22">
        <v>5</v>
      </c>
      <c r="U22">
        <v>16200</v>
      </c>
      <c r="V22">
        <v>12960</v>
      </c>
      <c r="W22">
        <v>3240</v>
      </c>
      <c r="X22" t="s">
        <v>46</v>
      </c>
      <c r="Y22" t="s">
        <v>37</v>
      </c>
    </row>
    <row r="23" spans="1:25" x14ac:dyDescent="0.25">
      <c r="A23">
        <v>22</v>
      </c>
      <c r="B23" t="s">
        <v>94</v>
      </c>
      <c r="C23">
        <v>2026</v>
      </c>
      <c r="D23">
        <v>1</v>
      </c>
      <c r="E23">
        <v>1</v>
      </c>
      <c r="F23">
        <v>4</v>
      </c>
      <c r="G23" t="s">
        <v>26</v>
      </c>
      <c r="H23" t="s">
        <v>27</v>
      </c>
      <c r="I23" t="s">
        <v>27</v>
      </c>
      <c r="J23" t="s">
        <v>59</v>
      </c>
      <c r="K23" t="s">
        <v>50</v>
      </c>
      <c r="L23" t="s">
        <v>43</v>
      </c>
      <c r="M23" t="s">
        <v>85</v>
      </c>
      <c r="N23" t="s">
        <v>44</v>
      </c>
      <c r="O23" t="s">
        <v>61</v>
      </c>
      <c r="P23" t="s">
        <v>34</v>
      </c>
      <c r="Q23" t="s">
        <v>35</v>
      </c>
      <c r="R23">
        <v>8</v>
      </c>
      <c r="S23">
        <v>1500</v>
      </c>
      <c r="T23">
        <v>0</v>
      </c>
      <c r="U23">
        <v>12000</v>
      </c>
      <c r="V23">
        <v>9600</v>
      </c>
      <c r="W23">
        <v>2400</v>
      </c>
      <c r="X23" t="s">
        <v>46</v>
      </c>
      <c r="Y23" t="s">
        <v>37</v>
      </c>
    </row>
    <row r="24" spans="1:25" x14ac:dyDescent="0.25">
      <c r="A24">
        <v>23</v>
      </c>
      <c r="B24" t="s">
        <v>95</v>
      </c>
      <c r="C24">
        <v>2026</v>
      </c>
      <c r="D24">
        <v>1</v>
      </c>
      <c r="E24">
        <v>1</v>
      </c>
      <c r="F24">
        <v>4</v>
      </c>
      <c r="G24" t="s">
        <v>26</v>
      </c>
      <c r="H24" t="s">
        <v>27</v>
      </c>
      <c r="I24" t="s">
        <v>27</v>
      </c>
      <c r="J24" t="s">
        <v>59</v>
      </c>
      <c r="K24" t="s">
        <v>50</v>
      </c>
      <c r="L24" t="s">
        <v>30</v>
      </c>
      <c r="M24" t="s">
        <v>92</v>
      </c>
      <c r="N24" t="s">
        <v>44</v>
      </c>
      <c r="O24" t="s">
        <v>33</v>
      </c>
      <c r="P24" t="s">
        <v>34</v>
      </c>
      <c r="Q24" t="s">
        <v>56</v>
      </c>
      <c r="R24">
        <v>2</v>
      </c>
      <c r="S24">
        <v>15000</v>
      </c>
      <c r="T24">
        <v>0</v>
      </c>
      <c r="U24">
        <v>30000</v>
      </c>
      <c r="V24">
        <v>24000</v>
      </c>
      <c r="W24">
        <v>6000</v>
      </c>
      <c r="X24" t="s">
        <v>36</v>
      </c>
      <c r="Y24" t="s">
        <v>37</v>
      </c>
    </row>
    <row r="25" spans="1:25" x14ac:dyDescent="0.25">
      <c r="A25">
        <v>24</v>
      </c>
      <c r="B25" t="s">
        <v>96</v>
      </c>
      <c r="C25">
        <v>2026</v>
      </c>
      <c r="D25">
        <v>1</v>
      </c>
      <c r="E25">
        <v>1</v>
      </c>
      <c r="F25">
        <v>4</v>
      </c>
      <c r="G25" t="s">
        <v>39</v>
      </c>
      <c r="H25" t="s">
        <v>27</v>
      </c>
      <c r="I25" t="s">
        <v>49</v>
      </c>
      <c r="J25" t="s">
        <v>28</v>
      </c>
      <c r="K25" t="s">
        <v>75</v>
      </c>
      <c r="L25" t="s">
        <v>43</v>
      </c>
      <c r="M25" t="s">
        <v>97</v>
      </c>
      <c r="N25" t="s">
        <v>44</v>
      </c>
      <c r="O25" t="s">
        <v>77</v>
      </c>
      <c r="P25" t="s">
        <v>34</v>
      </c>
      <c r="Q25" t="s">
        <v>45</v>
      </c>
      <c r="R25">
        <v>5</v>
      </c>
      <c r="S25">
        <v>12000</v>
      </c>
      <c r="T25">
        <v>0</v>
      </c>
      <c r="U25">
        <v>60000</v>
      </c>
      <c r="V25">
        <v>48000</v>
      </c>
      <c r="W25">
        <v>12000</v>
      </c>
      <c r="X25" t="s">
        <v>36</v>
      </c>
      <c r="Y25" t="s">
        <v>37</v>
      </c>
    </row>
    <row r="26" spans="1:25" x14ac:dyDescent="0.25">
      <c r="A26">
        <v>25</v>
      </c>
      <c r="B26" t="s">
        <v>98</v>
      </c>
      <c r="C26">
        <v>2026</v>
      </c>
      <c r="D26">
        <v>1</v>
      </c>
      <c r="E26">
        <v>1</v>
      </c>
      <c r="F26">
        <v>4</v>
      </c>
      <c r="G26" t="s">
        <v>26</v>
      </c>
      <c r="H26" t="s">
        <v>49</v>
      </c>
      <c r="I26" t="s">
        <v>27</v>
      </c>
      <c r="J26" t="s">
        <v>28</v>
      </c>
      <c r="K26" t="s">
        <v>42</v>
      </c>
      <c r="L26" t="s">
        <v>43</v>
      </c>
      <c r="M26" t="s">
        <v>99</v>
      </c>
      <c r="N26" t="s">
        <v>32</v>
      </c>
      <c r="O26" t="s">
        <v>33</v>
      </c>
      <c r="P26" t="s">
        <v>34</v>
      </c>
      <c r="Q26" t="s">
        <v>56</v>
      </c>
      <c r="R26">
        <v>5</v>
      </c>
      <c r="S26">
        <v>15000</v>
      </c>
      <c r="T26">
        <v>10</v>
      </c>
      <c r="U26">
        <v>75000</v>
      </c>
      <c r="V26">
        <v>60000</v>
      </c>
      <c r="W26">
        <v>15000</v>
      </c>
      <c r="X26" t="s">
        <v>36</v>
      </c>
      <c r="Y26" t="s">
        <v>37</v>
      </c>
    </row>
    <row r="27" spans="1:25" x14ac:dyDescent="0.25">
      <c r="A27">
        <v>26</v>
      </c>
      <c r="B27" t="s">
        <v>100</v>
      </c>
      <c r="C27">
        <v>2026</v>
      </c>
      <c r="D27">
        <v>1</v>
      </c>
      <c r="E27">
        <v>1</v>
      </c>
      <c r="F27">
        <v>5</v>
      </c>
      <c r="G27" t="s">
        <v>39</v>
      </c>
      <c r="H27" t="s">
        <v>49</v>
      </c>
      <c r="I27" t="s">
        <v>49</v>
      </c>
      <c r="J27" t="s">
        <v>59</v>
      </c>
      <c r="K27" t="s">
        <v>75</v>
      </c>
      <c r="L27" t="s">
        <v>30</v>
      </c>
      <c r="M27" t="s">
        <v>101</v>
      </c>
      <c r="N27" t="s">
        <v>44</v>
      </c>
      <c r="O27" t="s">
        <v>77</v>
      </c>
      <c r="P27" t="s">
        <v>34</v>
      </c>
      <c r="Q27" t="s">
        <v>35</v>
      </c>
      <c r="R27">
        <v>6</v>
      </c>
      <c r="S27">
        <v>12000</v>
      </c>
      <c r="T27">
        <v>0</v>
      </c>
      <c r="U27">
        <v>72000</v>
      </c>
      <c r="V27">
        <v>57600</v>
      </c>
      <c r="W27">
        <v>14400</v>
      </c>
      <c r="X27" t="s">
        <v>36</v>
      </c>
      <c r="Y27" t="s">
        <v>37</v>
      </c>
    </row>
    <row r="28" spans="1:25" x14ac:dyDescent="0.25">
      <c r="A28">
        <v>27</v>
      </c>
      <c r="B28" t="s">
        <v>102</v>
      </c>
      <c r="C28">
        <v>2026</v>
      </c>
      <c r="D28">
        <v>1</v>
      </c>
      <c r="E28">
        <v>1</v>
      </c>
      <c r="F28">
        <v>5</v>
      </c>
      <c r="G28" t="s">
        <v>39</v>
      </c>
      <c r="H28" t="s">
        <v>40</v>
      </c>
      <c r="I28" t="s">
        <v>27</v>
      </c>
      <c r="J28" t="s">
        <v>28</v>
      </c>
      <c r="K28" t="s">
        <v>75</v>
      </c>
      <c r="L28" t="s">
        <v>43</v>
      </c>
      <c r="M28" t="s">
        <v>103</v>
      </c>
      <c r="N28" t="s">
        <v>44</v>
      </c>
      <c r="O28" t="s">
        <v>52</v>
      </c>
      <c r="P28" t="s">
        <v>34</v>
      </c>
      <c r="Q28" t="s">
        <v>56</v>
      </c>
      <c r="R28">
        <v>10</v>
      </c>
      <c r="S28">
        <v>1800</v>
      </c>
      <c r="T28">
        <v>10</v>
      </c>
      <c r="U28">
        <v>18000</v>
      </c>
      <c r="V28">
        <v>14400</v>
      </c>
      <c r="W28">
        <v>3600</v>
      </c>
      <c r="X28" t="s">
        <v>46</v>
      </c>
      <c r="Y28" t="s">
        <v>37</v>
      </c>
    </row>
    <row r="29" spans="1:25" x14ac:dyDescent="0.25">
      <c r="A29">
        <v>28</v>
      </c>
      <c r="B29" t="s">
        <v>104</v>
      </c>
      <c r="C29">
        <v>2026</v>
      </c>
      <c r="D29">
        <v>1</v>
      </c>
      <c r="E29">
        <v>1</v>
      </c>
      <c r="F29">
        <v>5</v>
      </c>
      <c r="G29" t="s">
        <v>26</v>
      </c>
      <c r="H29" t="s">
        <v>27</v>
      </c>
      <c r="I29" t="s">
        <v>27</v>
      </c>
      <c r="J29" t="s">
        <v>41</v>
      </c>
      <c r="K29" t="s">
        <v>42</v>
      </c>
      <c r="L29" t="s">
        <v>30</v>
      </c>
      <c r="M29" t="s">
        <v>105</v>
      </c>
      <c r="N29" t="s">
        <v>32</v>
      </c>
      <c r="O29" t="s">
        <v>77</v>
      </c>
      <c r="P29" t="s">
        <v>34</v>
      </c>
      <c r="Q29" t="s">
        <v>56</v>
      </c>
      <c r="R29">
        <v>10</v>
      </c>
      <c r="S29">
        <v>12000</v>
      </c>
      <c r="T29">
        <v>5</v>
      </c>
      <c r="U29">
        <v>120000</v>
      </c>
      <c r="V29">
        <v>96000</v>
      </c>
      <c r="W29">
        <v>24000</v>
      </c>
      <c r="X29" t="s">
        <v>46</v>
      </c>
      <c r="Y29" t="s">
        <v>37</v>
      </c>
    </row>
    <row r="30" spans="1:25" x14ac:dyDescent="0.25">
      <c r="A30">
        <v>29</v>
      </c>
      <c r="B30" t="s">
        <v>106</v>
      </c>
      <c r="C30">
        <v>2026</v>
      </c>
      <c r="D30">
        <v>1</v>
      </c>
      <c r="E30">
        <v>1</v>
      </c>
      <c r="F30">
        <v>5</v>
      </c>
      <c r="G30" t="s">
        <v>26</v>
      </c>
      <c r="H30" t="s">
        <v>27</v>
      </c>
      <c r="I30" t="s">
        <v>27</v>
      </c>
      <c r="J30" t="s">
        <v>28</v>
      </c>
      <c r="K30" t="s">
        <v>75</v>
      </c>
      <c r="L30" t="s">
        <v>30</v>
      </c>
      <c r="M30" t="s">
        <v>107</v>
      </c>
      <c r="N30" t="s">
        <v>32</v>
      </c>
      <c r="O30" t="s">
        <v>77</v>
      </c>
      <c r="P30" t="s">
        <v>34</v>
      </c>
      <c r="Q30" t="s">
        <v>35</v>
      </c>
      <c r="R30">
        <v>9</v>
      </c>
      <c r="S30">
        <v>12000</v>
      </c>
      <c r="T30">
        <v>5</v>
      </c>
      <c r="U30">
        <v>108000</v>
      </c>
      <c r="V30">
        <v>86400</v>
      </c>
      <c r="W30">
        <v>21600</v>
      </c>
      <c r="X30" t="s">
        <v>36</v>
      </c>
      <c r="Y30" t="s">
        <v>37</v>
      </c>
    </row>
    <row r="31" spans="1:25" x14ac:dyDescent="0.25">
      <c r="A31">
        <v>30</v>
      </c>
      <c r="B31" t="s">
        <v>108</v>
      </c>
      <c r="C31">
        <v>2026</v>
      </c>
      <c r="D31">
        <v>1</v>
      </c>
      <c r="E31">
        <v>1</v>
      </c>
      <c r="F31">
        <v>5</v>
      </c>
      <c r="G31" t="s">
        <v>48</v>
      </c>
      <c r="H31" t="s">
        <v>49</v>
      </c>
      <c r="I31" t="s">
        <v>49</v>
      </c>
      <c r="J31" t="s">
        <v>41</v>
      </c>
      <c r="K31" t="s">
        <v>75</v>
      </c>
      <c r="L31" t="s">
        <v>43</v>
      </c>
      <c r="M31" t="s">
        <v>109</v>
      </c>
      <c r="N31" t="s">
        <v>32</v>
      </c>
      <c r="O31" t="s">
        <v>33</v>
      </c>
      <c r="P31" t="s">
        <v>34</v>
      </c>
      <c r="Q31" t="s">
        <v>35</v>
      </c>
      <c r="R31">
        <v>6</v>
      </c>
      <c r="S31">
        <v>15000</v>
      </c>
      <c r="T31">
        <v>0</v>
      </c>
      <c r="U31">
        <v>90000</v>
      </c>
      <c r="V31">
        <v>72000</v>
      </c>
      <c r="W31">
        <v>18000</v>
      </c>
      <c r="X31" t="s">
        <v>36</v>
      </c>
      <c r="Y31" t="s">
        <v>37</v>
      </c>
    </row>
    <row r="32" spans="1:25" x14ac:dyDescent="0.25">
      <c r="A32">
        <v>31</v>
      </c>
      <c r="B32" t="s">
        <v>110</v>
      </c>
      <c r="C32">
        <v>2026</v>
      </c>
      <c r="D32">
        <v>1</v>
      </c>
      <c r="E32">
        <v>1</v>
      </c>
      <c r="F32">
        <v>5</v>
      </c>
      <c r="G32" t="s">
        <v>26</v>
      </c>
      <c r="H32" t="s">
        <v>49</v>
      </c>
      <c r="I32" t="s">
        <v>49</v>
      </c>
      <c r="J32" t="s">
        <v>59</v>
      </c>
      <c r="K32" t="s">
        <v>50</v>
      </c>
      <c r="L32" t="s">
        <v>43</v>
      </c>
      <c r="M32" t="s">
        <v>87</v>
      </c>
      <c r="N32" t="s">
        <v>44</v>
      </c>
      <c r="O32" t="s">
        <v>33</v>
      </c>
      <c r="P32" t="s">
        <v>34</v>
      </c>
      <c r="Q32" t="s">
        <v>45</v>
      </c>
      <c r="R32">
        <v>3</v>
      </c>
      <c r="S32">
        <v>15000</v>
      </c>
      <c r="T32">
        <v>10</v>
      </c>
      <c r="U32">
        <v>45000</v>
      </c>
      <c r="V32">
        <v>36000</v>
      </c>
      <c r="W32">
        <v>9000</v>
      </c>
      <c r="X32" t="s">
        <v>36</v>
      </c>
      <c r="Y32" t="s">
        <v>37</v>
      </c>
    </row>
    <row r="33" spans="1:25" x14ac:dyDescent="0.25">
      <c r="A33">
        <v>32</v>
      </c>
      <c r="B33" t="s">
        <v>111</v>
      </c>
      <c r="C33">
        <v>2026</v>
      </c>
      <c r="D33">
        <v>1</v>
      </c>
      <c r="E33">
        <v>2</v>
      </c>
      <c r="F33">
        <v>5</v>
      </c>
      <c r="G33" t="s">
        <v>39</v>
      </c>
      <c r="H33" t="s">
        <v>27</v>
      </c>
      <c r="I33" t="s">
        <v>66</v>
      </c>
      <c r="J33" t="s">
        <v>59</v>
      </c>
      <c r="K33" t="s">
        <v>42</v>
      </c>
      <c r="L33" t="s">
        <v>30</v>
      </c>
      <c r="M33" t="s">
        <v>112</v>
      </c>
      <c r="N33" t="s">
        <v>32</v>
      </c>
      <c r="O33" t="s">
        <v>61</v>
      </c>
      <c r="P33" t="s">
        <v>34</v>
      </c>
      <c r="Q33" t="s">
        <v>45</v>
      </c>
      <c r="R33">
        <v>7</v>
      </c>
      <c r="S33">
        <v>1500</v>
      </c>
      <c r="T33">
        <v>10</v>
      </c>
      <c r="U33">
        <v>10500</v>
      </c>
      <c r="V33">
        <v>8400</v>
      </c>
      <c r="W33">
        <v>2100</v>
      </c>
      <c r="X33" t="s">
        <v>36</v>
      </c>
      <c r="Y33" t="s">
        <v>37</v>
      </c>
    </row>
    <row r="34" spans="1:25" x14ac:dyDescent="0.25">
      <c r="A34">
        <v>33</v>
      </c>
      <c r="B34" t="s">
        <v>113</v>
      </c>
      <c r="C34">
        <v>2026</v>
      </c>
      <c r="D34">
        <v>1</v>
      </c>
      <c r="E34">
        <v>2</v>
      </c>
      <c r="F34">
        <v>6</v>
      </c>
      <c r="G34" t="s">
        <v>48</v>
      </c>
      <c r="H34" t="s">
        <v>49</v>
      </c>
      <c r="I34" t="s">
        <v>27</v>
      </c>
      <c r="J34" t="s">
        <v>41</v>
      </c>
      <c r="K34" t="s">
        <v>29</v>
      </c>
      <c r="L34" t="s">
        <v>43</v>
      </c>
      <c r="M34" t="s">
        <v>99</v>
      </c>
      <c r="N34" t="s">
        <v>32</v>
      </c>
      <c r="O34" t="s">
        <v>55</v>
      </c>
      <c r="P34" t="s">
        <v>34</v>
      </c>
      <c r="Q34" t="s">
        <v>45</v>
      </c>
      <c r="R34">
        <v>3</v>
      </c>
      <c r="S34">
        <v>60000</v>
      </c>
      <c r="T34">
        <v>5</v>
      </c>
      <c r="U34">
        <v>180000</v>
      </c>
      <c r="V34">
        <v>144000</v>
      </c>
      <c r="W34">
        <v>36000</v>
      </c>
      <c r="X34" t="s">
        <v>46</v>
      </c>
      <c r="Y34" t="s">
        <v>37</v>
      </c>
    </row>
    <row r="35" spans="1:25" x14ac:dyDescent="0.25">
      <c r="A35">
        <v>34</v>
      </c>
      <c r="B35" t="s">
        <v>114</v>
      </c>
      <c r="C35">
        <v>2026</v>
      </c>
      <c r="D35">
        <v>1</v>
      </c>
      <c r="E35">
        <v>2</v>
      </c>
      <c r="F35">
        <v>6</v>
      </c>
      <c r="G35" t="s">
        <v>26</v>
      </c>
      <c r="H35" t="s">
        <v>40</v>
      </c>
      <c r="I35" t="s">
        <v>49</v>
      </c>
      <c r="J35" t="s">
        <v>59</v>
      </c>
      <c r="K35" t="s">
        <v>29</v>
      </c>
      <c r="L35" t="s">
        <v>30</v>
      </c>
      <c r="M35" t="s">
        <v>115</v>
      </c>
      <c r="N35" t="s">
        <v>44</v>
      </c>
      <c r="O35" t="s">
        <v>55</v>
      </c>
      <c r="P35" t="s">
        <v>34</v>
      </c>
      <c r="Q35" t="s">
        <v>35</v>
      </c>
      <c r="R35">
        <v>8</v>
      </c>
      <c r="S35">
        <v>60000</v>
      </c>
      <c r="T35">
        <v>5</v>
      </c>
      <c r="U35">
        <v>480000</v>
      </c>
      <c r="V35">
        <v>384000</v>
      </c>
      <c r="W35">
        <v>96000</v>
      </c>
      <c r="X35" t="s">
        <v>36</v>
      </c>
      <c r="Y35" t="s">
        <v>37</v>
      </c>
    </row>
    <row r="36" spans="1:25" x14ac:dyDescent="0.25">
      <c r="A36">
        <v>35</v>
      </c>
      <c r="B36" t="s">
        <v>116</v>
      </c>
      <c r="C36">
        <v>2026</v>
      </c>
      <c r="D36">
        <v>1</v>
      </c>
      <c r="E36">
        <v>2</v>
      </c>
      <c r="F36">
        <v>6</v>
      </c>
      <c r="G36" t="s">
        <v>48</v>
      </c>
      <c r="H36" t="s">
        <v>49</v>
      </c>
      <c r="I36" t="s">
        <v>66</v>
      </c>
      <c r="J36" t="s">
        <v>59</v>
      </c>
      <c r="K36" t="s">
        <v>42</v>
      </c>
      <c r="L36" t="s">
        <v>30</v>
      </c>
      <c r="M36" t="s">
        <v>117</v>
      </c>
      <c r="N36" t="s">
        <v>44</v>
      </c>
      <c r="O36" t="s">
        <v>77</v>
      </c>
      <c r="P36" t="s">
        <v>34</v>
      </c>
      <c r="Q36" t="s">
        <v>35</v>
      </c>
      <c r="R36">
        <v>7</v>
      </c>
      <c r="S36">
        <v>12000</v>
      </c>
      <c r="T36">
        <v>10</v>
      </c>
      <c r="U36">
        <v>84000</v>
      </c>
      <c r="V36">
        <v>67200</v>
      </c>
      <c r="W36">
        <v>16800</v>
      </c>
      <c r="X36" t="s">
        <v>46</v>
      </c>
      <c r="Y36" t="s">
        <v>37</v>
      </c>
    </row>
    <row r="37" spans="1:25" x14ac:dyDescent="0.25">
      <c r="A37">
        <v>36</v>
      </c>
      <c r="B37" t="s">
        <v>118</v>
      </c>
      <c r="C37">
        <v>2026</v>
      </c>
      <c r="D37">
        <v>1</v>
      </c>
      <c r="E37">
        <v>2</v>
      </c>
      <c r="F37">
        <v>6</v>
      </c>
      <c r="G37" t="s">
        <v>48</v>
      </c>
      <c r="H37" t="s">
        <v>27</v>
      </c>
      <c r="I37" t="s">
        <v>66</v>
      </c>
      <c r="J37" t="s">
        <v>28</v>
      </c>
      <c r="K37" t="s">
        <v>75</v>
      </c>
      <c r="L37" t="s">
        <v>43</v>
      </c>
      <c r="M37" t="s">
        <v>119</v>
      </c>
      <c r="N37" t="s">
        <v>44</v>
      </c>
      <c r="O37" t="s">
        <v>52</v>
      </c>
      <c r="P37" t="s">
        <v>34</v>
      </c>
      <c r="Q37" t="s">
        <v>56</v>
      </c>
      <c r="R37">
        <v>9</v>
      </c>
      <c r="S37">
        <v>1800</v>
      </c>
      <c r="T37">
        <v>10</v>
      </c>
      <c r="U37">
        <v>16200</v>
      </c>
      <c r="V37">
        <v>12960</v>
      </c>
      <c r="W37">
        <v>3240</v>
      </c>
      <c r="X37" t="s">
        <v>46</v>
      </c>
      <c r="Y37" t="s">
        <v>37</v>
      </c>
    </row>
    <row r="38" spans="1:25" x14ac:dyDescent="0.25">
      <c r="A38">
        <v>37</v>
      </c>
      <c r="B38" t="s">
        <v>120</v>
      </c>
      <c r="C38">
        <v>2026</v>
      </c>
      <c r="D38">
        <v>1</v>
      </c>
      <c r="E38">
        <v>2</v>
      </c>
      <c r="F38">
        <v>6</v>
      </c>
      <c r="G38" t="s">
        <v>39</v>
      </c>
      <c r="H38" t="s">
        <v>27</v>
      </c>
      <c r="I38" t="s">
        <v>27</v>
      </c>
      <c r="J38" t="s">
        <v>41</v>
      </c>
      <c r="K38" t="s">
        <v>29</v>
      </c>
      <c r="L38" t="s">
        <v>43</v>
      </c>
      <c r="M38" t="s">
        <v>121</v>
      </c>
      <c r="N38" t="s">
        <v>44</v>
      </c>
      <c r="O38" t="s">
        <v>61</v>
      </c>
      <c r="P38" t="s">
        <v>34</v>
      </c>
      <c r="Q38" t="s">
        <v>56</v>
      </c>
      <c r="R38">
        <v>1</v>
      </c>
      <c r="S38">
        <v>1500</v>
      </c>
      <c r="T38">
        <v>5</v>
      </c>
      <c r="U38">
        <v>1500</v>
      </c>
      <c r="V38">
        <v>1200</v>
      </c>
      <c r="W38">
        <v>300</v>
      </c>
      <c r="X38" t="s">
        <v>36</v>
      </c>
      <c r="Y38" t="s">
        <v>37</v>
      </c>
    </row>
    <row r="39" spans="1:25" x14ac:dyDescent="0.25">
      <c r="A39">
        <v>38</v>
      </c>
      <c r="B39" t="s">
        <v>122</v>
      </c>
      <c r="C39">
        <v>2026</v>
      </c>
      <c r="D39">
        <v>1</v>
      </c>
      <c r="E39">
        <v>2</v>
      </c>
      <c r="F39">
        <v>6</v>
      </c>
      <c r="G39" t="s">
        <v>48</v>
      </c>
      <c r="H39" t="s">
        <v>27</v>
      </c>
      <c r="I39" t="s">
        <v>49</v>
      </c>
      <c r="J39" t="s">
        <v>41</v>
      </c>
      <c r="K39" t="s">
        <v>75</v>
      </c>
      <c r="L39" t="s">
        <v>43</v>
      </c>
      <c r="M39" t="s">
        <v>123</v>
      </c>
      <c r="N39" t="s">
        <v>32</v>
      </c>
      <c r="O39" t="s">
        <v>61</v>
      </c>
      <c r="P39" t="s">
        <v>34</v>
      </c>
      <c r="Q39" t="s">
        <v>64</v>
      </c>
      <c r="R39">
        <v>5</v>
      </c>
      <c r="S39">
        <v>1500</v>
      </c>
      <c r="T39">
        <v>10</v>
      </c>
      <c r="U39">
        <v>7500</v>
      </c>
      <c r="V39">
        <v>6000</v>
      </c>
      <c r="W39">
        <v>1500</v>
      </c>
      <c r="X39" t="s">
        <v>36</v>
      </c>
      <c r="Y39" t="s">
        <v>37</v>
      </c>
    </row>
    <row r="40" spans="1:25" x14ac:dyDescent="0.25">
      <c r="A40">
        <v>39</v>
      </c>
      <c r="B40" t="s">
        <v>124</v>
      </c>
      <c r="C40">
        <v>2026</v>
      </c>
      <c r="D40">
        <v>1</v>
      </c>
      <c r="E40">
        <v>2</v>
      </c>
      <c r="F40">
        <v>6</v>
      </c>
      <c r="G40" t="s">
        <v>39</v>
      </c>
      <c r="H40" t="s">
        <v>49</v>
      </c>
      <c r="I40" t="s">
        <v>27</v>
      </c>
      <c r="J40" t="s">
        <v>28</v>
      </c>
      <c r="K40" t="s">
        <v>42</v>
      </c>
      <c r="L40" t="s">
        <v>43</v>
      </c>
      <c r="M40" t="s">
        <v>125</v>
      </c>
      <c r="N40" t="s">
        <v>32</v>
      </c>
      <c r="O40" t="s">
        <v>52</v>
      </c>
      <c r="P40" t="s">
        <v>34</v>
      </c>
      <c r="Q40" t="s">
        <v>64</v>
      </c>
      <c r="R40">
        <v>9</v>
      </c>
      <c r="S40">
        <v>1800</v>
      </c>
      <c r="T40">
        <v>5</v>
      </c>
      <c r="U40">
        <v>16200</v>
      </c>
      <c r="V40">
        <v>12960</v>
      </c>
      <c r="W40">
        <v>3240</v>
      </c>
      <c r="X40" t="s">
        <v>36</v>
      </c>
      <c r="Y40" t="s">
        <v>37</v>
      </c>
    </row>
    <row r="41" spans="1:25" x14ac:dyDescent="0.25">
      <c r="A41">
        <v>40</v>
      </c>
      <c r="B41" t="s">
        <v>126</v>
      </c>
      <c r="C41">
        <v>2026</v>
      </c>
      <c r="D41">
        <v>1</v>
      </c>
      <c r="E41">
        <v>2</v>
      </c>
      <c r="F41">
        <v>7</v>
      </c>
      <c r="G41" t="s">
        <v>26</v>
      </c>
      <c r="H41" t="s">
        <v>49</v>
      </c>
      <c r="I41" t="s">
        <v>27</v>
      </c>
      <c r="J41" t="s">
        <v>28</v>
      </c>
      <c r="K41" t="s">
        <v>29</v>
      </c>
      <c r="L41" t="s">
        <v>43</v>
      </c>
      <c r="M41" t="s">
        <v>127</v>
      </c>
      <c r="N41" t="s">
        <v>44</v>
      </c>
      <c r="O41" t="s">
        <v>33</v>
      </c>
      <c r="P41" t="s">
        <v>34</v>
      </c>
      <c r="Q41" t="s">
        <v>56</v>
      </c>
      <c r="R41">
        <v>9</v>
      </c>
      <c r="S41">
        <v>15000</v>
      </c>
      <c r="T41">
        <v>5</v>
      </c>
      <c r="U41">
        <v>135000</v>
      </c>
      <c r="V41">
        <v>108000</v>
      </c>
      <c r="W41">
        <v>27000</v>
      </c>
      <c r="X41" t="s">
        <v>36</v>
      </c>
      <c r="Y41" t="s">
        <v>37</v>
      </c>
    </row>
    <row r="42" spans="1:25" x14ac:dyDescent="0.25">
      <c r="A42">
        <v>41</v>
      </c>
      <c r="B42" t="s">
        <v>128</v>
      </c>
      <c r="C42">
        <v>2026</v>
      </c>
      <c r="D42">
        <v>1</v>
      </c>
      <c r="E42">
        <v>2</v>
      </c>
      <c r="F42">
        <v>7</v>
      </c>
      <c r="G42" t="s">
        <v>26</v>
      </c>
      <c r="H42" t="s">
        <v>27</v>
      </c>
      <c r="I42" t="s">
        <v>66</v>
      </c>
      <c r="J42" t="s">
        <v>59</v>
      </c>
      <c r="K42" t="s">
        <v>29</v>
      </c>
      <c r="L42" t="s">
        <v>30</v>
      </c>
      <c r="M42" t="s">
        <v>129</v>
      </c>
      <c r="N42" t="s">
        <v>32</v>
      </c>
      <c r="O42" t="s">
        <v>52</v>
      </c>
      <c r="P42" t="s">
        <v>34</v>
      </c>
      <c r="Q42" t="s">
        <v>64</v>
      </c>
      <c r="R42">
        <v>10</v>
      </c>
      <c r="S42">
        <v>1800</v>
      </c>
      <c r="T42">
        <v>5</v>
      </c>
      <c r="U42">
        <v>18000</v>
      </c>
      <c r="V42">
        <v>14400</v>
      </c>
      <c r="W42">
        <v>3600</v>
      </c>
      <c r="X42" t="s">
        <v>36</v>
      </c>
      <c r="Y42" t="s">
        <v>37</v>
      </c>
    </row>
    <row r="43" spans="1:25" x14ac:dyDescent="0.25">
      <c r="A43">
        <v>42</v>
      </c>
      <c r="B43" t="s">
        <v>130</v>
      </c>
      <c r="C43">
        <v>2026</v>
      </c>
      <c r="D43">
        <v>1</v>
      </c>
      <c r="E43">
        <v>2</v>
      </c>
      <c r="F43">
        <v>7</v>
      </c>
      <c r="G43" t="s">
        <v>39</v>
      </c>
      <c r="H43" t="s">
        <v>49</v>
      </c>
      <c r="I43" t="s">
        <v>66</v>
      </c>
      <c r="J43" t="s">
        <v>59</v>
      </c>
      <c r="K43" t="s">
        <v>75</v>
      </c>
      <c r="L43" t="s">
        <v>30</v>
      </c>
      <c r="M43" t="s">
        <v>131</v>
      </c>
      <c r="N43" t="s">
        <v>32</v>
      </c>
      <c r="O43" t="s">
        <v>33</v>
      </c>
      <c r="P43" t="s">
        <v>34</v>
      </c>
      <c r="Q43" t="s">
        <v>35</v>
      </c>
      <c r="R43">
        <v>5</v>
      </c>
      <c r="S43">
        <v>15000</v>
      </c>
      <c r="T43">
        <v>0</v>
      </c>
      <c r="U43">
        <v>75000</v>
      </c>
      <c r="V43">
        <v>60000</v>
      </c>
      <c r="W43">
        <v>15000</v>
      </c>
      <c r="X43" t="s">
        <v>36</v>
      </c>
      <c r="Y43" t="s">
        <v>37</v>
      </c>
    </row>
    <row r="44" spans="1:25" x14ac:dyDescent="0.25">
      <c r="A44">
        <v>43</v>
      </c>
      <c r="B44" t="s">
        <v>132</v>
      </c>
      <c r="C44">
        <v>2026</v>
      </c>
      <c r="D44">
        <v>1</v>
      </c>
      <c r="E44">
        <v>2</v>
      </c>
      <c r="F44">
        <v>7</v>
      </c>
      <c r="G44" t="s">
        <v>39</v>
      </c>
      <c r="H44" t="s">
        <v>27</v>
      </c>
      <c r="I44" t="s">
        <v>49</v>
      </c>
      <c r="J44" t="s">
        <v>28</v>
      </c>
      <c r="K44" t="s">
        <v>75</v>
      </c>
      <c r="L44" t="s">
        <v>30</v>
      </c>
      <c r="M44" t="s">
        <v>92</v>
      </c>
      <c r="N44" t="s">
        <v>32</v>
      </c>
      <c r="O44" t="s">
        <v>33</v>
      </c>
      <c r="P44" t="s">
        <v>34</v>
      </c>
      <c r="Q44" t="s">
        <v>56</v>
      </c>
      <c r="R44">
        <v>8</v>
      </c>
      <c r="S44">
        <v>15000</v>
      </c>
      <c r="T44">
        <v>0</v>
      </c>
      <c r="U44">
        <v>120000</v>
      </c>
      <c r="V44">
        <v>96000</v>
      </c>
      <c r="W44">
        <v>24000</v>
      </c>
      <c r="X44" t="s">
        <v>57</v>
      </c>
      <c r="Y44" t="s">
        <v>37</v>
      </c>
    </row>
    <row r="45" spans="1:25" x14ac:dyDescent="0.25">
      <c r="A45">
        <v>44</v>
      </c>
      <c r="B45" t="s">
        <v>133</v>
      </c>
      <c r="C45">
        <v>2026</v>
      </c>
      <c r="D45">
        <v>1</v>
      </c>
      <c r="E45">
        <v>2</v>
      </c>
      <c r="F45">
        <v>7</v>
      </c>
      <c r="G45" t="s">
        <v>48</v>
      </c>
      <c r="H45" t="s">
        <v>27</v>
      </c>
      <c r="I45" t="s">
        <v>49</v>
      </c>
      <c r="J45" t="s">
        <v>59</v>
      </c>
      <c r="K45" t="s">
        <v>29</v>
      </c>
      <c r="L45" t="s">
        <v>30</v>
      </c>
      <c r="M45" t="s">
        <v>63</v>
      </c>
      <c r="N45" t="s">
        <v>44</v>
      </c>
      <c r="O45" t="s">
        <v>52</v>
      </c>
      <c r="P45" t="s">
        <v>34</v>
      </c>
      <c r="Q45" t="s">
        <v>45</v>
      </c>
      <c r="R45">
        <v>5</v>
      </c>
      <c r="S45">
        <v>1800</v>
      </c>
      <c r="T45">
        <v>0</v>
      </c>
      <c r="U45">
        <v>9000</v>
      </c>
      <c r="V45">
        <v>7200</v>
      </c>
      <c r="W45">
        <v>1800</v>
      </c>
      <c r="X45" t="s">
        <v>57</v>
      </c>
      <c r="Y45" t="s">
        <v>37</v>
      </c>
    </row>
    <row r="46" spans="1:25" x14ac:dyDescent="0.25">
      <c r="A46">
        <v>45</v>
      </c>
      <c r="B46" t="s">
        <v>134</v>
      </c>
      <c r="C46">
        <v>2026</v>
      </c>
      <c r="D46">
        <v>1</v>
      </c>
      <c r="E46">
        <v>2</v>
      </c>
      <c r="F46">
        <v>7</v>
      </c>
      <c r="G46" t="s">
        <v>26</v>
      </c>
      <c r="H46" t="s">
        <v>40</v>
      </c>
      <c r="I46" t="s">
        <v>66</v>
      </c>
      <c r="J46" t="s">
        <v>59</v>
      </c>
      <c r="K46" t="s">
        <v>75</v>
      </c>
      <c r="L46" t="s">
        <v>30</v>
      </c>
      <c r="M46" t="s">
        <v>135</v>
      </c>
      <c r="N46" t="s">
        <v>32</v>
      </c>
      <c r="O46" t="s">
        <v>77</v>
      </c>
      <c r="P46" t="s">
        <v>34</v>
      </c>
      <c r="Q46" t="s">
        <v>35</v>
      </c>
      <c r="R46">
        <v>4</v>
      </c>
      <c r="S46">
        <v>12000</v>
      </c>
      <c r="T46">
        <v>0</v>
      </c>
      <c r="U46">
        <v>48000</v>
      </c>
      <c r="V46">
        <v>38400</v>
      </c>
      <c r="W46">
        <v>9600</v>
      </c>
      <c r="X46" t="s">
        <v>57</v>
      </c>
      <c r="Y46" t="s">
        <v>37</v>
      </c>
    </row>
    <row r="47" spans="1:25" x14ac:dyDescent="0.25">
      <c r="A47">
        <v>46</v>
      </c>
      <c r="B47" t="s">
        <v>136</v>
      </c>
      <c r="C47">
        <v>2026</v>
      </c>
      <c r="D47">
        <v>1</v>
      </c>
      <c r="E47">
        <v>2</v>
      </c>
      <c r="F47">
        <v>7</v>
      </c>
      <c r="G47" t="s">
        <v>39</v>
      </c>
      <c r="H47" t="s">
        <v>27</v>
      </c>
      <c r="I47" t="s">
        <v>66</v>
      </c>
      <c r="J47" t="s">
        <v>41</v>
      </c>
      <c r="K47" t="s">
        <v>29</v>
      </c>
      <c r="L47" t="s">
        <v>30</v>
      </c>
      <c r="M47" t="s">
        <v>60</v>
      </c>
      <c r="N47" t="s">
        <v>32</v>
      </c>
      <c r="O47" t="s">
        <v>52</v>
      </c>
      <c r="P47" t="s">
        <v>34</v>
      </c>
      <c r="Q47" t="s">
        <v>35</v>
      </c>
      <c r="R47">
        <v>9</v>
      </c>
      <c r="S47">
        <v>1800</v>
      </c>
      <c r="T47">
        <v>10</v>
      </c>
      <c r="U47">
        <v>16200</v>
      </c>
      <c r="V47">
        <v>12960</v>
      </c>
      <c r="W47">
        <v>3240</v>
      </c>
      <c r="X47" t="s">
        <v>46</v>
      </c>
      <c r="Y47" t="s">
        <v>37</v>
      </c>
    </row>
    <row r="48" spans="1:25" x14ac:dyDescent="0.25">
      <c r="A48">
        <v>47</v>
      </c>
      <c r="B48" t="s">
        <v>137</v>
      </c>
      <c r="C48">
        <v>2026</v>
      </c>
      <c r="D48">
        <v>1</v>
      </c>
      <c r="E48">
        <v>2</v>
      </c>
      <c r="F48">
        <v>8</v>
      </c>
      <c r="G48" t="s">
        <v>39</v>
      </c>
      <c r="H48" t="s">
        <v>49</v>
      </c>
      <c r="I48" t="s">
        <v>66</v>
      </c>
      <c r="J48" t="s">
        <v>59</v>
      </c>
      <c r="K48" t="s">
        <v>42</v>
      </c>
      <c r="L48" t="s">
        <v>43</v>
      </c>
      <c r="M48" t="s">
        <v>138</v>
      </c>
      <c r="N48" t="s">
        <v>32</v>
      </c>
      <c r="O48" t="s">
        <v>77</v>
      </c>
      <c r="P48" t="s">
        <v>34</v>
      </c>
      <c r="Q48" t="s">
        <v>35</v>
      </c>
      <c r="R48">
        <v>7</v>
      </c>
      <c r="S48">
        <v>12000</v>
      </c>
      <c r="T48">
        <v>10</v>
      </c>
      <c r="U48">
        <v>84000</v>
      </c>
      <c r="V48">
        <v>67200</v>
      </c>
      <c r="W48">
        <v>16800</v>
      </c>
      <c r="X48" t="s">
        <v>36</v>
      </c>
      <c r="Y48" t="s">
        <v>37</v>
      </c>
    </row>
    <row r="49" spans="1:25" x14ac:dyDescent="0.25">
      <c r="A49">
        <v>48</v>
      </c>
      <c r="B49" t="s">
        <v>139</v>
      </c>
      <c r="C49">
        <v>2026</v>
      </c>
      <c r="D49">
        <v>1</v>
      </c>
      <c r="E49">
        <v>2</v>
      </c>
      <c r="F49">
        <v>8</v>
      </c>
      <c r="G49" t="s">
        <v>48</v>
      </c>
      <c r="H49" t="s">
        <v>49</v>
      </c>
      <c r="I49" t="s">
        <v>49</v>
      </c>
      <c r="J49" t="s">
        <v>28</v>
      </c>
      <c r="K49" t="s">
        <v>42</v>
      </c>
      <c r="L49" t="s">
        <v>30</v>
      </c>
      <c r="M49" t="s">
        <v>115</v>
      </c>
      <c r="N49" t="s">
        <v>32</v>
      </c>
      <c r="O49" t="s">
        <v>77</v>
      </c>
      <c r="P49" t="s">
        <v>34</v>
      </c>
      <c r="Q49" t="s">
        <v>56</v>
      </c>
      <c r="R49">
        <v>9</v>
      </c>
      <c r="S49">
        <v>12000</v>
      </c>
      <c r="T49">
        <v>0</v>
      </c>
      <c r="U49">
        <v>108000</v>
      </c>
      <c r="V49">
        <v>86400</v>
      </c>
      <c r="W49">
        <v>21600</v>
      </c>
      <c r="X49" t="s">
        <v>46</v>
      </c>
      <c r="Y49" t="s">
        <v>37</v>
      </c>
    </row>
    <row r="50" spans="1:25" x14ac:dyDescent="0.25">
      <c r="A50">
        <v>49</v>
      </c>
      <c r="B50" t="s">
        <v>140</v>
      </c>
      <c r="C50">
        <v>2026</v>
      </c>
      <c r="D50">
        <v>1</v>
      </c>
      <c r="E50">
        <v>2</v>
      </c>
      <c r="F50">
        <v>8</v>
      </c>
      <c r="G50" t="s">
        <v>48</v>
      </c>
      <c r="H50" t="s">
        <v>40</v>
      </c>
      <c r="I50" t="s">
        <v>27</v>
      </c>
      <c r="J50" t="s">
        <v>59</v>
      </c>
      <c r="K50" t="s">
        <v>29</v>
      </c>
      <c r="L50" t="s">
        <v>43</v>
      </c>
      <c r="M50" t="s">
        <v>141</v>
      </c>
      <c r="N50" t="s">
        <v>32</v>
      </c>
      <c r="O50" t="s">
        <v>33</v>
      </c>
      <c r="P50" t="s">
        <v>34</v>
      </c>
      <c r="Q50" t="s">
        <v>45</v>
      </c>
      <c r="R50">
        <v>3</v>
      </c>
      <c r="S50">
        <v>15000</v>
      </c>
      <c r="T50">
        <v>0</v>
      </c>
      <c r="U50">
        <v>45000</v>
      </c>
      <c r="V50">
        <v>36000</v>
      </c>
      <c r="W50">
        <v>9000</v>
      </c>
      <c r="X50" t="s">
        <v>46</v>
      </c>
      <c r="Y50" t="s">
        <v>37</v>
      </c>
    </row>
    <row r="51" spans="1:25" x14ac:dyDescent="0.25">
      <c r="A51">
        <v>50</v>
      </c>
      <c r="B51" t="s">
        <v>142</v>
      </c>
      <c r="C51">
        <v>2026</v>
      </c>
      <c r="D51">
        <v>1</v>
      </c>
      <c r="E51">
        <v>2</v>
      </c>
      <c r="F51">
        <v>8</v>
      </c>
      <c r="G51" t="s">
        <v>48</v>
      </c>
      <c r="H51" t="s">
        <v>27</v>
      </c>
      <c r="I51" t="s">
        <v>49</v>
      </c>
      <c r="J51" t="s">
        <v>28</v>
      </c>
      <c r="K51" t="s">
        <v>75</v>
      </c>
      <c r="L51" t="s">
        <v>30</v>
      </c>
      <c r="M51" t="s">
        <v>119</v>
      </c>
      <c r="N51" t="s">
        <v>44</v>
      </c>
      <c r="O51" t="s">
        <v>77</v>
      </c>
      <c r="P51" t="s">
        <v>34</v>
      </c>
      <c r="Q51" t="s">
        <v>64</v>
      </c>
      <c r="R51">
        <v>2</v>
      </c>
      <c r="S51">
        <v>12000</v>
      </c>
      <c r="T51">
        <v>0</v>
      </c>
      <c r="U51">
        <v>24000</v>
      </c>
      <c r="V51">
        <v>19200</v>
      </c>
      <c r="W51">
        <v>4800</v>
      </c>
      <c r="X51" t="s">
        <v>46</v>
      </c>
      <c r="Y51" t="s">
        <v>37</v>
      </c>
    </row>
    <row r="52" spans="1:25" x14ac:dyDescent="0.25">
      <c r="A52">
        <v>51</v>
      </c>
      <c r="B52" t="s">
        <v>143</v>
      </c>
      <c r="C52">
        <v>2026</v>
      </c>
      <c r="D52">
        <v>1</v>
      </c>
      <c r="E52">
        <v>2</v>
      </c>
      <c r="F52">
        <v>8</v>
      </c>
      <c r="G52" t="s">
        <v>39</v>
      </c>
      <c r="H52" t="s">
        <v>40</v>
      </c>
      <c r="I52" t="s">
        <v>27</v>
      </c>
      <c r="J52" t="s">
        <v>28</v>
      </c>
      <c r="K52" t="s">
        <v>50</v>
      </c>
      <c r="L52" t="s">
        <v>30</v>
      </c>
      <c r="M52" t="s">
        <v>144</v>
      </c>
      <c r="N52" t="s">
        <v>44</v>
      </c>
      <c r="O52" t="s">
        <v>52</v>
      </c>
      <c r="P52" t="s">
        <v>34</v>
      </c>
      <c r="Q52" t="s">
        <v>56</v>
      </c>
      <c r="R52">
        <v>10</v>
      </c>
      <c r="S52">
        <v>1800</v>
      </c>
      <c r="T52">
        <v>10</v>
      </c>
      <c r="U52">
        <v>18000</v>
      </c>
      <c r="V52">
        <v>14400</v>
      </c>
      <c r="W52">
        <v>3600</v>
      </c>
      <c r="X52" t="s">
        <v>36</v>
      </c>
      <c r="Y52" t="s">
        <v>37</v>
      </c>
    </row>
    <row r="53" spans="1:25" x14ac:dyDescent="0.25">
      <c r="A53">
        <v>52</v>
      </c>
      <c r="B53" t="s">
        <v>145</v>
      </c>
      <c r="C53">
        <v>2026</v>
      </c>
      <c r="D53">
        <v>1</v>
      </c>
      <c r="E53">
        <v>2</v>
      </c>
      <c r="F53">
        <v>8</v>
      </c>
      <c r="G53" t="s">
        <v>26</v>
      </c>
      <c r="H53" t="s">
        <v>40</v>
      </c>
      <c r="I53" t="s">
        <v>66</v>
      </c>
      <c r="J53" t="s">
        <v>28</v>
      </c>
      <c r="K53" t="s">
        <v>75</v>
      </c>
      <c r="L53" t="s">
        <v>30</v>
      </c>
      <c r="M53" t="s">
        <v>146</v>
      </c>
      <c r="N53" t="s">
        <v>32</v>
      </c>
      <c r="O53" t="s">
        <v>61</v>
      </c>
      <c r="P53" t="s">
        <v>34</v>
      </c>
      <c r="Q53" t="s">
        <v>64</v>
      </c>
      <c r="R53">
        <v>4</v>
      </c>
      <c r="S53">
        <v>1500</v>
      </c>
      <c r="T53">
        <v>5</v>
      </c>
      <c r="U53">
        <v>6000</v>
      </c>
      <c r="V53">
        <v>4800</v>
      </c>
      <c r="W53">
        <v>1200</v>
      </c>
      <c r="X53" t="s">
        <v>57</v>
      </c>
      <c r="Y53" t="s">
        <v>37</v>
      </c>
    </row>
    <row r="54" spans="1:25" x14ac:dyDescent="0.25">
      <c r="A54">
        <v>53</v>
      </c>
      <c r="B54" t="s">
        <v>147</v>
      </c>
      <c r="C54">
        <v>2026</v>
      </c>
      <c r="D54">
        <v>1</v>
      </c>
      <c r="E54">
        <v>2</v>
      </c>
      <c r="F54">
        <v>8</v>
      </c>
      <c r="G54" t="s">
        <v>26</v>
      </c>
      <c r="H54" t="s">
        <v>27</v>
      </c>
      <c r="I54" t="s">
        <v>66</v>
      </c>
      <c r="J54" t="s">
        <v>59</v>
      </c>
      <c r="K54" t="s">
        <v>42</v>
      </c>
      <c r="L54" t="s">
        <v>30</v>
      </c>
      <c r="M54" t="s">
        <v>148</v>
      </c>
      <c r="N54" t="s">
        <v>32</v>
      </c>
      <c r="O54" t="s">
        <v>77</v>
      </c>
      <c r="P54" t="s">
        <v>34</v>
      </c>
      <c r="Q54" t="s">
        <v>35</v>
      </c>
      <c r="R54">
        <v>3</v>
      </c>
      <c r="S54">
        <v>12000</v>
      </c>
      <c r="T54">
        <v>10</v>
      </c>
      <c r="U54">
        <v>36000</v>
      </c>
      <c r="V54">
        <v>28800</v>
      </c>
      <c r="W54">
        <v>7200</v>
      </c>
      <c r="X54" t="s">
        <v>36</v>
      </c>
      <c r="Y54" t="s">
        <v>37</v>
      </c>
    </row>
    <row r="55" spans="1:25" x14ac:dyDescent="0.25">
      <c r="A55">
        <v>54</v>
      </c>
      <c r="B55" t="s">
        <v>149</v>
      </c>
      <c r="C55">
        <v>2026</v>
      </c>
      <c r="D55">
        <v>1</v>
      </c>
      <c r="E55">
        <v>2</v>
      </c>
      <c r="F55">
        <v>9</v>
      </c>
      <c r="G55" t="s">
        <v>48</v>
      </c>
      <c r="H55" t="s">
        <v>49</v>
      </c>
      <c r="I55" t="s">
        <v>49</v>
      </c>
      <c r="J55" t="s">
        <v>41</v>
      </c>
      <c r="K55" t="s">
        <v>75</v>
      </c>
      <c r="L55" t="s">
        <v>43</v>
      </c>
      <c r="M55" t="s">
        <v>80</v>
      </c>
      <c r="N55" t="s">
        <v>32</v>
      </c>
      <c r="O55" t="s">
        <v>55</v>
      </c>
      <c r="P55" t="s">
        <v>34</v>
      </c>
      <c r="Q55" t="s">
        <v>35</v>
      </c>
      <c r="R55">
        <v>2</v>
      </c>
      <c r="S55">
        <v>60000</v>
      </c>
      <c r="T55">
        <v>0</v>
      </c>
      <c r="U55">
        <v>120000</v>
      </c>
      <c r="V55">
        <v>96000</v>
      </c>
      <c r="W55">
        <v>24000</v>
      </c>
      <c r="X55" t="s">
        <v>36</v>
      </c>
      <c r="Y55" t="s">
        <v>37</v>
      </c>
    </row>
    <row r="56" spans="1:25" x14ac:dyDescent="0.25">
      <c r="A56">
        <v>55</v>
      </c>
      <c r="B56" t="s">
        <v>150</v>
      </c>
      <c r="C56">
        <v>2026</v>
      </c>
      <c r="D56">
        <v>1</v>
      </c>
      <c r="E56">
        <v>2</v>
      </c>
      <c r="F56">
        <v>9</v>
      </c>
      <c r="G56" t="s">
        <v>26</v>
      </c>
      <c r="H56" t="s">
        <v>27</v>
      </c>
      <c r="I56" t="s">
        <v>66</v>
      </c>
      <c r="J56" t="s">
        <v>41</v>
      </c>
      <c r="K56" t="s">
        <v>75</v>
      </c>
      <c r="L56" t="s">
        <v>30</v>
      </c>
      <c r="M56" t="s">
        <v>151</v>
      </c>
      <c r="N56" t="s">
        <v>32</v>
      </c>
      <c r="O56" t="s">
        <v>33</v>
      </c>
      <c r="P56" t="s">
        <v>34</v>
      </c>
      <c r="Q56" t="s">
        <v>56</v>
      </c>
      <c r="R56">
        <v>10</v>
      </c>
      <c r="S56">
        <v>15000</v>
      </c>
      <c r="T56">
        <v>10</v>
      </c>
      <c r="U56">
        <v>150000</v>
      </c>
      <c r="V56">
        <v>120000</v>
      </c>
      <c r="W56">
        <v>30000</v>
      </c>
      <c r="X56" t="s">
        <v>36</v>
      </c>
      <c r="Y56" t="s">
        <v>37</v>
      </c>
    </row>
    <row r="57" spans="1:25" x14ac:dyDescent="0.25">
      <c r="A57">
        <v>56</v>
      </c>
      <c r="B57" t="s">
        <v>152</v>
      </c>
      <c r="C57">
        <v>2026</v>
      </c>
      <c r="D57">
        <v>1</v>
      </c>
      <c r="E57">
        <v>2</v>
      </c>
      <c r="F57">
        <v>9</v>
      </c>
      <c r="G57" t="s">
        <v>39</v>
      </c>
      <c r="H57" t="s">
        <v>49</v>
      </c>
      <c r="I57" t="s">
        <v>49</v>
      </c>
      <c r="J57" t="s">
        <v>28</v>
      </c>
      <c r="K57" t="s">
        <v>75</v>
      </c>
      <c r="L57" t="s">
        <v>30</v>
      </c>
      <c r="M57" t="s">
        <v>153</v>
      </c>
      <c r="N57" t="s">
        <v>44</v>
      </c>
      <c r="O57" t="s">
        <v>77</v>
      </c>
      <c r="P57" t="s">
        <v>34</v>
      </c>
      <c r="Q57" t="s">
        <v>56</v>
      </c>
      <c r="R57">
        <v>7</v>
      </c>
      <c r="S57">
        <v>12000</v>
      </c>
      <c r="T57">
        <v>5</v>
      </c>
      <c r="U57">
        <v>84000</v>
      </c>
      <c r="V57">
        <v>67200</v>
      </c>
      <c r="W57">
        <v>16800</v>
      </c>
      <c r="X57" t="s">
        <v>36</v>
      </c>
      <c r="Y57" t="s">
        <v>37</v>
      </c>
    </row>
    <row r="58" spans="1:25" x14ac:dyDescent="0.25">
      <c r="A58">
        <v>57</v>
      </c>
      <c r="B58" t="s">
        <v>154</v>
      </c>
      <c r="C58">
        <v>2026</v>
      </c>
      <c r="D58">
        <v>1</v>
      </c>
      <c r="E58">
        <v>2</v>
      </c>
      <c r="F58">
        <v>9</v>
      </c>
      <c r="G58" t="s">
        <v>26</v>
      </c>
      <c r="H58" t="s">
        <v>49</v>
      </c>
      <c r="I58" t="s">
        <v>49</v>
      </c>
      <c r="J58" t="s">
        <v>59</v>
      </c>
      <c r="K58" t="s">
        <v>50</v>
      </c>
      <c r="L58" t="s">
        <v>43</v>
      </c>
      <c r="M58" t="s">
        <v>155</v>
      </c>
      <c r="N58" t="s">
        <v>32</v>
      </c>
      <c r="O58" t="s">
        <v>55</v>
      </c>
      <c r="P58" t="s">
        <v>34</v>
      </c>
      <c r="Q58" t="s">
        <v>64</v>
      </c>
      <c r="R58">
        <v>8</v>
      </c>
      <c r="S58">
        <v>60000</v>
      </c>
      <c r="T58">
        <v>10</v>
      </c>
      <c r="U58">
        <v>480000</v>
      </c>
      <c r="V58">
        <v>384000</v>
      </c>
      <c r="W58">
        <v>96000</v>
      </c>
      <c r="X58" t="s">
        <v>57</v>
      </c>
      <c r="Y58" t="s">
        <v>37</v>
      </c>
    </row>
    <row r="59" spans="1:25" x14ac:dyDescent="0.25">
      <c r="A59">
        <v>58</v>
      </c>
      <c r="B59" t="s">
        <v>156</v>
      </c>
      <c r="C59">
        <v>2026</v>
      </c>
      <c r="D59">
        <v>1</v>
      </c>
      <c r="E59">
        <v>2</v>
      </c>
      <c r="F59">
        <v>9</v>
      </c>
      <c r="G59" t="s">
        <v>48</v>
      </c>
      <c r="H59" t="s">
        <v>27</v>
      </c>
      <c r="I59" t="s">
        <v>66</v>
      </c>
      <c r="J59" t="s">
        <v>59</v>
      </c>
      <c r="K59" t="s">
        <v>75</v>
      </c>
      <c r="L59" t="s">
        <v>43</v>
      </c>
      <c r="M59" t="s">
        <v>89</v>
      </c>
      <c r="N59" t="s">
        <v>32</v>
      </c>
      <c r="O59" t="s">
        <v>33</v>
      </c>
      <c r="P59" t="s">
        <v>34</v>
      </c>
      <c r="Q59" t="s">
        <v>64</v>
      </c>
      <c r="R59">
        <v>9</v>
      </c>
      <c r="S59">
        <v>15000</v>
      </c>
      <c r="T59">
        <v>10</v>
      </c>
      <c r="U59">
        <v>135000</v>
      </c>
      <c r="V59">
        <v>108000</v>
      </c>
      <c r="W59">
        <v>27000</v>
      </c>
      <c r="X59" t="s">
        <v>46</v>
      </c>
      <c r="Y59" t="s">
        <v>37</v>
      </c>
    </row>
    <row r="60" spans="1:25" x14ac:dyDescent="0.25">
      <c r="A60">
        <v>59</v>
      </c>
      <c r="B60" t="s">
        <v>157</v>
      </c>
      <c r="C60">
        <v>2026</v>
      </c>
      <c r="D60">
        <v>1</v>
      </c>
      <c r="E60">
        <v>2</v>
      </c>
      <c r="F60">
        <v>9</v>
      </c>
      <c r="G60" t="s">
        <v>48</v>
      </c>
      <c r="H60" t="s">
        <v>40</v>
      </c>
      <c r="I60" t="s">
        <v>66</v>
      </c>
      <c r="J60" t="s">
        <v>41</v>
      </c>
      <c r="K60" t="s">
        <v>42</v>
      </c>
      <c r="L60" t="s">
        <v>43</v>
      </c>
      <c r="M60" t="s">
        <v>158</v>
      </c>
      <c r="N60" t="s">
        <v>44</v>
      </c>
      <c r="O60" t="s">
        <v>61</v>
      </c>
      <c r="P60" t="s">
        <v>34</v>
      </c>
      <c r="Q60" t="s">
        <v>56</v>
      </c>
      <c r="R60">
        <v>7</v>
      </c>
      <c r="S60">
        <v>1500</v>
      </c>
      <c r="T60">
        <v>10</v>
      </c>
      <c r="U60">
        <v>10500</v>
      </c>
      <c r="V60">
        <v>8400</v>
      </c>
      <c r="W60">
        <v>2100</v>
      </c>
      <c r="X60" t="s">
        <v>36</v>
      </c>
      <c r="Y60" t="s">
        <v>37</v>
      </c>
    </row>
    <row r="61" spans="1:25" x14ac:dyDescent="0.25">
      <c r="A61">
        <v>60</v>
      </c>
      <c r="B61" t="s">
        <v>159</v>
      </c>
      <c r="C61">
        <v>2026</v>
      </c>
      <c r="D61">
        <v>1</v>
      </c>
      <c r="E61">
        <v>3</v>
      </c>
      <c r="F61">
        <v>9</v>
      </c>
      <c r="G61" t="s">
        <v>26</v>
      </c>
      <c r="H61" t="s">
        <v>27</v>
      </c>
      <c r="I61" t="s">
        <v>27</v>
      </c>
      <c r="J61" t="s">
        <v>28</v>
      </c>
      <c r="K61" t="s">
        <v>50</v>
      </c>
      <c r="L61" t="s">
        <v>43</v>
      </c>
      <c r="M61" t="s">
        <v>71</v>
      </c>
      <c r="N61" t="s">
        <v>44</v>
      </c>
      <c r="O61" t="s">
        <v>61</v>
      </c>
      <c r="P61" t="s">
        <v>34</v>
      </c>
      <c r="Q61" t="s">
        <v>64</v>
      </c>
      <c r="R61">
        <v>3</v>
      </c>
      <c r="S61">
        <v>1500</v>
      </c>
      <c r="T61">
        <v>10</v>
      </c>
      <c r="U61">
        <v>4500</v>
      </c>
      <c r="V61">
        <v>3600</v>
      </c>
      <c r="W61">
        <v>900</v>
      </c>
      <c r="X61" t="s">
        <v>57</v>
      </c>
      <c r="Y61" t="s">
        <v>37</v>
      </c>
    </row>
    <row r="62" spans="1:25" x14ac:dyDescent="0.25">
      <c r="A62">
        <v>61</v>
      </c>
      <c r="B62" t="s">
        <v>160</v>
      </c>
      <c r="C62">
        <v>2026</v>
      </c>
      <c r="D62">
        <v>1</v>
      </c>
      <c r="E62">
        <v>3</v>
      </c>
      <c r="F62">
        <v>10</v>
      </c>
      <c r="G62" t="s">
        <v>48</v>
      </c>
      <c r="H62" t="s">
        <v>49</v>
      </c>
      <c r="I62" t="s">
        <v>27</v>
      </c>
      <c r="J62" t="s">
        <v>59</v>
      </c>
      <c r="K62" t="s">
        <v>29</v>
      </c>
      <c r="L62" t="s">
        <v>43</v>
      </c>
      <c r="M62" t="s">
        <v>161</v>
      </c>
      <c r="N62" t="s">
        <v>44</v>
      </c>
      <c r="O62" t="s">
        <v>33</v>
      </c>
      <c r="P62" t="s">
        <v>34</v>
      </c>
      <c r="Q62" t="s">
        <v>35</v>
      </c>
      <c r="R62">
        <v>3</v>
      </c>
      <c r="S62">
        <v>15000</v>
      </c>
      <c r="T62">
        <v>0</v>
      </c>
      <c r="U62">
        <v>45000</v>
      </c>
      <c r="V62">
        <v>36000</v>
      </c>
      <c r="W62">
        <v>9000</v>
      </c>
      <c r="X62" t="s">
        <v>46</v>
      </c>
      <c r="Y62" t="s">
        <v>37</v>
      </c>
    </row>
    <row r="63" spans="1:25" x14ac:dyDescent="0.25">
      <c r="A63">
        <v>62</v>
      </c>
      <c r="B63" t="s">
        <v>162</v>
      </c>
      <c r="C63">
        <v>2026</v>
      </c>
      <c r="D63">
        <v>1</v>
      </c>
      <c r="E63">
        <v>3</v>
      </c>
      <c r="F63">
        <v>10</v>
      </c>
      <c r="G63" t="s">
        <v>39</v>
      </c>
      <c r="H63" t="s">
        <v>49</v>
      </c>
      <c r="I63" t="s">
        <v>27</v>
      </c>
      <c r="J63" t="s">
        <v>41</v>
      </c>
      <c r="K63" t="s">
        <v>75</v>
      </c>
      <c r="L63" t="s">
        <v>43</v>
      </c>
      <c r="M63" t="s">
        <v>163</v>
      </c>
      <c r="N63" t="s">
        <v>44</v>
      </c>
      <c r="O63" t="s">
        <v>61</v>
      </c>
      <c r="P63" t="s">
        <v>34</v>
      </c>
      <c r="Q63" t="s">
        <v>64</v>
      </c>
      <c r="R63">
        <v>4</v>
      </c>
      <c r="S63">
        <v>1500</v>
      </c>
      <c r="T63">
        <v>0</v>
      </c>
      <c r="U63">
        <v>6000</v>
      </c>
      <c r="V63">
        <v>4800</v>
      </c>
      <c r="W63">
        <v>1200</v>
      </c>
      <c r="X63" t="s">
        <v>36</v>
      </c>
      <c r="Y63" t="s">
        <v>37</v>
      </c>
    </row>
    <row r="64" spans="1:25" x14ac:dyDescent="0.25">
      <c r="A64">
        <v>63</v>
      </c>
      <c r="B64" t="s">
        <v>164</v>
      </c>
      <c r="C64">
        <v>2026</v>
      </c>
      <c r="D64">
        <v>1</v>
      </c>
      <c r="E64">
        <v>3</v>
      </c>
      <c r="F64">
        <v>10</v>
      </c>
      <c r="G64" t="s">
        <v>39</v>
      </c>
      <c r="H64" t="s">
        <v>49</v>
      </c>
      <c r="I64" t="s">
        <v>66</v>
      </c>
      <c r="J64" t="s">
        <v>28</v>
      </c>
      <c r="K64" t="s">
        <v>50</v>
      </c>
      <c r="L64" t="s">
        <v>43</v>
      </c>
      <c r="M64" t="s">
        <v>163</v>
      </c>
      <c r="N64" t="s">
        <v>32</v>
      </c>
      <c r="O64" t="s">
        <v>77</v>
      </c>
      <c r="P64" t="s">
        <v>34</v>
      </c>
      <c r="Q64" t="s">
        <v>56</v>
      </c>
      <c r="R64">
        <v>8</v>
      </c>
      <c r="S64">
        <v>12000</v>
      </c>
      <c r="T64">
        <v>0</v>
      </c>
      <c r="U64">
        <v>96000</v>
      </c>
      <c r="V64">
        <v>76800</v>
      </c>
      <c r="W64">
        <v>19200</v>
      </c>
      <c r="X64" t="s">
        <v>36</v>
      </c>
      <c r="Y64" t="s">
        <v>37</v>
      </c>
    </row>
    <row r="65" spans="1:25" x14ac:dyDescent="0.25">
      <c r="A65">
        <v>64</v>
      </c>
      <c r="B65" t="s">
        <v>165</v>
      </c>
      <c r="C65">
        <v>2026</v>
      </c>
      <c r="D65">
        <v>1</v>
      </c>
      <c r="E65">
        <v>3</v>
      </c>
      <c r="F65">
        <v>10</v>
      </c>
      <c r="G65" t="s">
        <v>48</v>
      </c>
      <c r="H65" t="s">
        <v>40</v>
      </c>
      <c r="I65" t="s">
        <v>27</v>
      </c>
      <c r="J65" t="s">
        <v>28</v>
      </c>
      <c r="K65" t="s">
        <v>29</v>
      </c>
      <c r="L65" t="s">
        <v>43</v>
      </c>
      <c r="M65" t="s">
        <v>166</v>
      </c>
      <c r="N65" t="s">
        <v>32</v>
      </c>
      <c r="O65" t="s">
        <v>52</v>
      </c>
      <c r="P65" t="s">
        <v>34</v>
      </c>
      <c r="Q65" t="s">
        <v>56</v>
      </c>
      <c r="R65">
        <v>9</v>
      </c>
      <c r="S65">
        <v>1800</v>
      </c>
      <c r="T65">
        <v>10</v>
      </c>
      <c r="U65">
        <v>16200</v>
      </c>
      <c r="V65">
        <v>12960</v>
      </c>
      <c r="W65">
        <v>3240</v>
      </c>
      <c r="X65" t="s">
        <v>36</v>
      </c>
      <c r="Y65" t="s">
        <v>37</v>
      </c>
    </row>
    <row r="66" spans="1:25" x14ac:dyDescent="0.25">
      <c r="A66">
        <v>65</v>
      </c>
      <c r="B66" t="s">
        <v>167</v>
      </c>
      <c r="C66">
        <v>2026</v>
      </c>
      <c r="D66">
        <v>1</v>
      </c>
      <c r="E66">
        <v>3</v>
      </c>
      <c r="F66">
        <v>10</v>
      </c>
      <c r="G66" t="s">
        <v>26</v>
      </c>
      <c r="H66" t="s">
        <v>40</v>
      </c>
      <c r="I66" t="s">
        <v>66</v>
      </c>
      <c r="J66" t="s">
        <v>41</v>
      </c>
      <c r="K66" t="s">
        <v>50</v>
      </c>
      <c r="L66" t="s">
        <v>30</v>
      </c>
      <c r="M66" t="s">
        <v>121</v>
      </c>
      <c r="N66" t="s">
        <v>32</v>
      </c>
      <c r="O66" t="s">
        <v>33</v>
      </c>
      <c r="P66" t="s">
        <v>34</v>
      </c>
      <c r="Q66" t="s">
        <v>64</v>
      </c>
      <c r="R66">
        <v>5</v>
      </c>
      <c r="S66">
        <v>15000</v>
      </c>
      <c r="T66">
        <v>10</v>
      </c>
      <c r="U66">
        <v>75000</v>
      </c>
      <c r="V66">
        <v>60000</v>
      </c>
      <c r="W66">
        <v>15000</v>
      </c>
      <c r="X66" t="s">
        <v>57</v>
      </c>
      <c r="Y66" t="s">
        <v>37</v>
      </c>
    </row>
    <row r="67" spans="1:25" x14ac:dyDescent="0.25">
      <c r="A67">
        <v>66</v>
      </c>
      <c r="B67" t="s">
        <v>168</v>
      </c>
      <c r="C67">
        <v>2026</v>
      </c>
      <c r="D67">
        <v>1</v>
      </c>
      <c r="E67">
        <v>3</v>
      </c>
      <c r="F67">
        <v>10</v>
      </c>
      <c r="G67" t="s">
        <v>39</v>
      </c>
      <c r="H67" t="s">
        <v>27</v>
      </c>
      <c r="I67" t="s">
        <v>66</v>
      </c>
      <c r="J67" t="s">
        <v>28</v>
      </c>
      <c r="K67" t="s">
        <v>75</v>
      </c>
      <c r="L67" t="s">
        <v>30</v>
      </c>
      <c r="M67" t="s">
        <v>169</v>
      </c>
      <c r="N67" t="s">
        <v>32</v>
      </c>
      <c r="O67" t="s">
        <v>55</v>
      </c>
      <c r="P67" t="s">
        <v>34</v>
      </c>
      <c r="Q67" t="s">
        <v>35</v>
      </c>
      <c r="R67">
        <v>10</v>
      </c>
      <c r="S67">
        <v>60000</v>
      </c>
      <c r="T67">
        <v>10</v>
      </c>
      <c r="U67">
        <v>600000</v>
      </c>
      <c r="V67">
        <v>480000</v>
      </c>
      <c r="W67">
        <v>120000</v>
      </c>
      <c r="X67" t="s">
        <v>36</v>
      </c>
      <c r="Y67" t="s">
        <v>37</v>
      </c>
    </row>
    <row r="68" spans="1:25" x14ac:dyDescent="0.25">
      <c r="A68">
        <v>67</v>
      </c>
      <c r="B68" t="s">
        <v>170</v>
      </c>
      <c r="C68">
        <v>2026</v>
      </c>
      <c r="D68">
        <v>1</v>
      </c>
      <c r="E68">
        <v>3</v>
      </c>
      <c r="F68">
        <v>10</v>
      </c>
      <c r="G68" t="s">
        <v>39</v>
      </c>
      <c r="H68" t="s">
        <v>40</v>
      </c>
      <c r="I68" t="s">
        <v>49</v>
      </c>
      <c r="J68" t="s">
        <v>41</v>
      </c>
      <c r="K68" t="s">
        <v>75</v>
      </c>
      <c r="L68" t="s">
        <v>43</v>
      </c>
      <c r="M68" t="s">
        <v>171</v>
      </c>
      <c r="N68" t="s">
        <v>44</v>
      </c>
      <c r="O68" t="s">
        <v>77</v>
      </c>
      <c r="P68" t="s">
        <v>34</v>
      </c>
      <c r="Q68" t="s">
        <v>64</v>
      </c>
      <c r="R68">
        <v>10</v>
      </c>
      <c r="S68">
        <v>12000</v>
      </c>
      <c r="T68">
        <v>5</v>
      </c>
      <c r="U68">
        <v>120000</v>
      </c>
      <c r="V68">
        <v>96000</v>
      </c>
      <c r="W68">
        <v>24000</v>
      </c>
      <c r="X68" t="s">
        <v>46</v>
      </c>
      <c r="Y68" t="s">
        <v>37</v>
      </c>
    </row>
    <row r="69" spans="1:25" x14ac:dyDescent="0.25">
      <c r="A69">
        <v>68</v>
      </c>
      <c r="B69" t="s">
        <v>172</v>
      </c>
      <c r="C69">
        <v>2026</v>
      </c>
      <c r="D69">
        <v>1</v>
      </c>
      <c r="E69">
        <v>3</v>
      </c>
      <c r="F69">
        <v>11</v>
      </c>
      <c r="G69" t="s">
        <v>48</v>
      </c>
      <c r="H69" t="s">
        <v>49</v>
      </c>
      <c r="I69" t="s">
        <v>66</v>
      </c>
      <c r="J69" t="s">
        <v>41</v>
      </c>
      <c r="K69" t="s">
        <v>75</v>
      </c>
      <c r="L69" t="s">
        <v>30</v>
      </c>
      <c r="M69" t="s">
        <v>112</v>
      </c>
      <c r="N69" t="s">
        <v>44</v>
      </c>
      <c r="O69" t="s">
        <v>61</v>
      </c>
      <c r="P69" t="s">
        <v>34</v>
      </c>
      <c r="Q69" t="s">
        <v>56</v>
      </c>
      <c r="R69">
        <v>7</v>
      </c>
      <c r="S69">
        <v>1500</v>
      </c>
      <c r="T69">
        <v>10</v>
      </c>
      <c r="U69">
        <v>10500</v>
      </c>
      <c r="V69">
        <v>8400</v>
      </c>
      <c r="W69">
        <v>2100</v>
      </c>
      <c r="X69" t="s">
        <v>46</v>
      </c>
      <c r="Y69" t="s">
        <v>37</v>
      </c>
    </row>
    <row r="70" spans="1:25" x14ac:dyDescent="0.25">
      <c r="A70">
        <v>69</v>
      </c>
      <c r="B70" t="s">
        <v>173</v>
      </c>
      <c r="C70">
        <v>2026</v>
      </c>
      <c r="D70">
        <v>1</v>
      </c>
      <c r="E70">
        <v>3</v>
      </c>
      <c r="F70">
        <v>11</v>
      </c>
      <c r="G70" t="s">
        <v>48</v>
      </c>
      <c r="H70" t="s">
        <v>40</v>
      </c>
      <c r="I70" t="s">
        <v>49</v>
      </c>
      <c r="J70" t="s">
        <v>41</v>
      </c>
      <c r="K70" t="s">
        <v>29</v>
      </c>
      <c r="L70" t="s">
        <v>43</v>
      </c>
      <c r="M70" t="s">
        <v>119</v>
      </c>
      <c r="N70" t="s">
        <v>44</v>
      </c>
      <c r="O70" t="s">
        <v>52</v>
      </c>
      <c r="P70" t="s">
        <v>34</v>
      </c>
      <c r="Q70" t="s">
        <v>35</v>
      </c>
      <c r="R70">
        <v>5</v>
      </c>
      <c r="S70">
        <v>1800</v>
      </c>
      <c r="T70">
        <v>5</v>
      </c>
      <c r="U70">
        <v>9000</v>
      </c>
      <c r="V70">
        <v>7200</v>
      </c>
      <c r="W70">
        <v>1800</v>
      </c>
      <c r="X70" t="s">
        <v>46</v>
      </c>
      <c r="Y70" t="s">
        <v>37</v>
      </c>
    </row>
    <row r="71" spans="1:25" x14ac:dyDescent="0.25">
      <c r="A71">
        <v>70</v>
      </c>
      <c r="B71" t="s">
        <v>174</v>
      </c>
      <c r="C71">
        <v>2026</v>
      </c>
      <c r="D71">
        <v>1</v>
      </c>
      <c r="E71">
        <v>3</v>
      </c>
      <c r="F71">
        <v>11</v>
      </c>
      <c r="G71" t="s">
        <v>48</v>
      </c>
      <c r="H71" t="s">
        <v>27</v>
      </c>
      <c r="I71" t="s">
        <v>66</v>
      </c>
      <c r="J71" t="s">
        <v>59</v>
      </c>
      <c r="K71" t="s">
        <v>42</v>
      </c>
      <c r="L71" t="s">
        <v>30</v>
      </c>
      <c r="M71" t="s">
        <v>171</v>
      </c>
      <c r="N71" t="s">
        <v>32</v>
      </c>
      <c r="O71" t="s">
        <v>55</v>
      </c>
      <c r="P71" t="s">
        <v>34</v>
      </c>
      <c r="Q71" t="s">
        <v>45</v>
      </c>
      <c r="R71">
        <v>3</v>
      </c>
      <c r="S71">
        <v>60000</v>
      </c>
      <c r="T71">
        <v>0</v>
      </c>
      <c r="U71">
        <v>180000</v>
      </c>
      <c r="V71">
        <v>144000</v>
      </c>
      <c r="W71">
        <v>36000</v>
      </c>
      <c r="X71" t="s">
        <v>36</v>
      </c>
      <c r="Y71" t="s">
        <v>37</v>
      </c>
    </row>
    <row r="72" spans="1:25" x14ac:dyDescent="0.25">
      <c r="A72">
        <v>71</v>
      </c>
      <c r="B72" t="s">
        <v>175</v>
      </c>
      <c r="C72">
        <v>2026</v>
      </c>
      <c r="D72">
        <v>1</v>
      </c>
      <c r="E72">
        <v>3</v>
      </c>
      <c r="F72">
        <v>11</v>
      </c>
      <c r="G72" t="s">
        <v>26</v>
      </c>
      <c r="H72" t="s">
        <v>27</v>
      </c>
      <c r="I72" t="s">
        <v>27</v>
      </c>
      <c r="J72" t="s">
        <v>41</v>
      </c>
      <c r="K72" t="s">
        <v>75</v>
      </c>
      <c r="L72" t="s">
        <v>43</v>
      </c>
      <c r="M72" t="s">
        <v>171</v>
      </c>
      <c r="N72" t="s">
        <v>32</v>
      </c>
      <c r="O72" t="s">
        <v>61</v>
      </c>
      <c r="P72" t="s">
        <v>34</v>
      </c>
      <c r="Q72" t="s">
        <v>35</v>
      </c>
      <c r="R72">
        <v>9</v>
      </c>
      <c r="S72">
        <v>1500</v>
      </c>
      <c r="T72">
        <v>5</v>
      </c>
      <c r="U72">
        <v>13500</v>
      </c>
      <c r="V72">
        <v>10800</v>
      </c>
      <c r="W72">
        <v>2700</v>
      </c>
      <c r="X72" t="s">
        <v>36</v>
      </c>
      <c r="Y72" t="s">
        <v>37</v>
      </c>
    </row>
    <row r="73" spans="1:25" x14ac:dyDescent="0.25">
      <c r="A73">
        <v>72</v>
      </c>
      <c r="B73" t="s">
        <v>176</v>
      </c>
      <c r="C73">
        <v>2026</v>
      </c>
      <c r="D73">
        <v>1</v>
      </c>
      <c r="E73">
        <v>3</v>
      </c>
      <c r="F73">
        <v>11</v>
      </c>
      <c r="G73" t="s">
        <v>48</v>
      </c>
      <c r="H73" t="s">
        <v>40</v>
      </c>
      <c r="I73" t="s">
        <v>66</v>
      </c>
      <c r="J73" t="s">
        <v>59</v>
      </c>
      <c r="K73" t="s">
        <v>50</v>
      </c>
      <c r="L73" t="s">
        <v>30</v>
      </c>
      <c r="M73" t="s">
        <v>177</v>
      </c>
      <c r="N73" t="s">
        <v>44</v>
      </c>
      <c r="O73" t="s">
        <v>61</v>
      </c>
      <c r="P73" t="s">
        <v>34</v>
      </c>
      <c r="Q73" t="s">
        <v>64</v>
      </c>
      <c r="R73">
        <v>8</v>
      </c>
      <c r="S73">
        <v>1500</v>
      </c>
      <c r="T73">
        <v>10</v>
      </c>
      <c r="U73">
        <v>12000</v>
      </c>
      <c r="V73">
        <v>9600</v>
      </c>
      <c r="W73">
        <v>2400</v>
      </c>
      <c r="X73" t="s">
        <v>57</v>
      </c>
      <c r="Y73" t="s">
        <v>37</v>
      </c>
    </row>
    <row r="74" spans="1:25" x14ac:dyDescent="0.25">
      <c r="A74">
        <v>73</v>
      </c>
      <c r="B74" t="s">
        <v>178</v>
      </c>
      <c r="C74">
        <v>2026</v>
      </c>
      <c r="D74">
        <v>1</v>
      </c>
      <c r="E74">
        <v>3</v>
      </c>
      <c r="F74">
        <v>11</v>
      </c>
      <c r="G74" t="s">
        <v>26</v>
      </c>
      <c r="H74" t="s">
        <v>27</v>
      </c>
      <c r="I74" t="s">
        <v>27</v>
      </c>
      <c r="J74" t="s">
        <v>41</v>
      </c>
      <c r="K74" t="s">
        <v>50</v>
      </c>
      <c r="L74" t="s">
        <v>30</v>
      </c>
      <c r="M74" t="s">
        <v>166</v>
      </c>
      <c r="N74" t="s">
        <v>44</v>
      </c>
      <c r="O74" t="s">
        <v>52</v>
      </c>
      <c r="P74" t="s">
        <v>34</v>
      </c>
      <c r="Q74" t="s">
        <v>35</v>
      </c>
      <c r="R74">
        <v>5</v>
      </c>
      <c r="S74">
        <v>1800</v>
      </c>
      <c r="T74">
        <v>10</v>
      </c>
      <c r="U74">
        <v>9000</v>
      </c>
      <c r="V74">
        <v>7200</v>
      </c>
      <c r="W74">
        <v>1800</v>
      </c>
      <c r="X74" t="s">
        <v>36</v>
      </c>
      <c r="Y74" t="s">
        <v>37</v>
      </c>
    </row>
    <row r="75" spans="1:25" x14ac:dyDescent="0.25">
      <c r="A75">
        <v>74</v>
      </c>
      <c r="B75" t="s">
        <v>179</v>
      </c>
      <c r="C75">
        <v>2026</v>
      </c>
      <c r="D75">
        <v>1</v>
      </c>
      <c r="E75">
        <v>3</v>
      </c>
      <c r="F75">
        <v>11</v>
      </c>
      <c r="G75" t="s">
        <v>26</v>
      </c>
      <c r="H75" t="s">
        <v>40</v>
      </c>
      <c r="I75" t="s">
        <v>27</v>
      </c>
      <c r="J75" t="s">
        <v>59</v>
      </c>
      <c r="K75" t="s">
        <v>42</v>
      </c>
      <c r="L75" t="s">
        <v>30</v>
      </c>
      <c r="M75" t="s">
        <v>51</v>
      </c>
      <c r="N75" t="s">
        <v>44</v>
      </c>
      <c r="O75" t="s">
        <v>55</v>
      </c>
      <c r="P75" t="s">
        <v>34</v>
      </c>
      <c r="Q75" t="s">
        <v>56</v>
      </c>
      <c r="R75">
        <v>7</v>
      </c>
      <c r="S75">
        <v>60000</v>
      </c>
      <c r="T75">
        <v>5</v>
      </c>
      <c r="U75">
        <v>420000</v>
      </c>
      <c r="V75">
        <v>336000</v>
      </c>
      <c r="W75">
        <v>84000</v>
      </c>
      <c r="X75" t="s">
        <v>46</v>
      </c>
      <c r="Y75" t="s">
        <v>37</v>
      </c>
    </row>
    <row r="76" spans="1:25" x14ac:dyDescent="0.25">
      <c r="A76">
        <v>75</v>
      </c>
      <c r="B76" t="s">
        <v>180</v>
      </c>
      <c r="C76">
        <v>2026</v>
      </c>
      <c r="D76">
        <v>1</v>
      </c>
      <c r="E76">
        <v>3</v>
      </c>
      <c r="F76">
        <v>12</v>
      </c>
      <c r="G76" t="s">
        <v>26</v>
      </c>
      <c r="H76" t="s">
        <v>40</v>
      </c>
      <c r="I76" t="s">
        <v>49</v>
      </c>
      <c r="J76" t="s">
        <v>41</v>
      </c>
      <c r="K76" t="s">
        <v>50</v>
      </c>
      <c r="L76" t="s">
        <v>43</v>
      </c>
      <c r="M76" t="s">
        <v>181</v>
      </c>
      <c r="N76" t="s">
        <v>32</v>
      </c>
      <c r="O76" t="s">
        <v>77</v>
      </c>
      <c r="P76" t="s">
        <v>34</v>
      </c>
      <c r="Q76" t="s">
        <v>45</v>
      </c>
      <c r="R76">
        <v>3</v>
      </c>
      <c r="S76">
        <v>12000</v>
      </c>
      <c r="T76">
        <v>10</v>
      </c>
      <c r="U76">
        <v>36000</v>
      </c>
      <c r="V76">
        <v>28800</v>
      </c>
      <c r="W76">
        <v>7200</v>
      </c>
      <c r="X76" t="s">
        <v>46</v>
      </c>
      <c r="Y76" t="s">
        <v>37</v>
      </c>
    </row>
    <row r="77" spans="1:25" x14ac:dyDescent="0.25">
      <c r="A77">
        <v>76</v>
      </c>
      <c r="B77" t="s">
        <v>182</v>
      </c>
      <c r="C77">
        <v>2026</v>
      </c>
      <c r="D77">
        <v>1</v>
      </c>
      <c r="E77">
        <v>3</v>
      </c>
      <c r="F77">
        <v>12</v>
      </c>
      <c r="G77" t="s">
        <v>48</v>
      </c>
      <c r="H77" t="s">
        <v>27</v>
      </c>
      <c r="I77" t="s">
        <v>66</v>
      </c>
      <c r="J77" t="s">
        <v>28</v>
      </c>
      <c r="K77" t="s">
        <v>75</v>
      </c>
      <c r="L77" t="s">
        <v>43</v>
      </c>
      <c r="M77" t="s">
        <v>153</v>
      </c>
      <c r="N77" t="s">
        <v>32</v>
      </c>
      <c r="O77" t="s">
        <v>61</v>
      </c>
      <c r="P77" t="s">
        <v>34</v>
      </c>
      <c r="Q77" t="s">
        <v>35</v>
      </c>
      <c r="R77">
        <v>3</v>
      </c>
      <c r="S77">
        <v>1500</v>
      </c>
      <c r="T77">
        <v>5</v>
      </c>
      <c r="U77">
        <v>4500</v>
      </c>
      <c r="V77">
        <v>3600</v>
      </c>
      <c r="W77">
        <v>900</v>
      </c>
      <c r="X77" t="s">
        <v>46</v>
      </c>
      <c r="Y77" t="s">
        <v>37</v>
      </c>
    </row>
    <row r="78" spans="1:25" x14ac:dyDescent="0.25">
      <c r="A78">
        <v>77</v>
      </c>
      <c r="B78" t="s">
        <v>183</v>
      </c>
      <c r="C78">
        <v>2026</v>
      </c>
      <c r="D78">
        <v>1</v>
      </c>
      <c r="E78">
        <v>3</v>
      </c>
      <c r="F78">
        <v>12</v>
      </c>
      <c r="G78" t="s">
        <v>48</v>
      </c>
      <c r="H78" t="s">
        <v>49</v>
      </c>
      <c r="I78" t="s">
        <v>49</v>
      </c>
      <c r="J78" t="s">
        <v>59</v>
      </c>
      <c r="K78" t="s">
        <v>29</v>
      </c>
      <c r="L78" t="s">
        <v>43</v>
      </c>
      <c r="M78" t="s">
        <v>131</v>
      </c>
      <c r="N78" t="s">
        <v>44</v>
      </c>
      <c r="O78" t="s">
        <v>55</v>
      </c>
      <c r="P78" t="s">
        <v>34</v>
      </c>
      <c r="Q78" t="s">
        <v>56</v>
      </c>
      <c r="R78">
        <v>9</v>
      </c>
      <c r="S78">
        <v>60000</v>
      </c>
      <c r="T78">
        <v>5</v>
      </c>
      <c r="U78">
        <v>540000</v>
      </c>
      <c r="V78">
        <v>432000</v>
      </c>
      <c r="W78">
        <v>108000</v>
      </c>
      <c r="X78" t="s">
        <v>46</v>
      </c>
      <c r="Y78" t="s">
        <v>37</v>
      </c>
    </row>
    <row r="79" spans="1:25" x14ac:dyDescent="0.25">
      <c r="A79">
        <v>78</v>
      </c>
      <c r="B79" t="s">
        <v>184</v>
      </c>
      <c r="C79">
        <v>2026</v>
      </c>
      <c r="D79">
        <v>1</v>
      </c>
      <c r="E79">
        <v>3</v>
      </c>
      <c r="F79">
        <v>12</v>
      </c>
      <c r="G79" t="s">
        <v>26</v>
      </c>
      <c r="H79" t="s">
        <v>27</v>
      </c>
      <c r="I79" t="s">
        <v>27</v>
      </c>
      <c r="J79" t="s">
        <v>28</v>
      </c>
      <c r="K79" t="s">
        <v>75</v>
      </c>
      <c r="L79" t="s">
        <v>30</v>
      </c>
      <c r="M79" t="s">
        <v>185</v>
      </c>
      <c r="N79" t="s">
        <v>44</v>
      </c>
      <c r="O79" t="s">
        <v>33</v>
      </c>
      <c r="P79" t="s">
        <v>34</v>
      </c>
      <c r="Q79" t="s">
        <v>45</v>
      </c>
      <c r="R79">
        <v>2</v>
      </c>
      <c r="S79">
        <v>15000</v>
      </c>
      <c r="T79">
        <v>10</v>
      </c>
      <c r="U79">
        <v>30000</v>
      </c>
      <c r="V79">
        <v>24000</v>
      </c>
      <c r="W79">
        <v>6000</v>
      </c>
      <c r="X79" t="s">
        <v>57</v>
      </c>
      <c r="Y79" t="s">
        <v>37</v>
      </c>
    </row>
    <row r="80" spans="1:25" x14ac:dyDescent="0.25">
      <c r="A80">
        <v>79</v>
      </c>
      <c r="B80" t="s">
        <v>186</v>
      </c>
      <c r="C80">
        <v>2026</v>
      </c>
      <c r="D80">
        <v>1</v>
      </c>
      <c r="E80">
        <v>3</v>
      </c>
      <c r="F80">
        <v>12</v>
      </c>
      <c r="G80" t="s">
        <v>26</v>
      </c>
      <c r="H80" t="s">
        <v>40</v>
      </c>
      <c r="I80" t="s">
        <v>66</v>
      </c>
      <c r="J80" t="s">
        <v>59</v>
      </c>
      <c r="K80" t="s">
        <v>50</v>
      </c>
      <c r="L80" t="s">
        <v>30</v>
      </c>
      <c r="M80" t="s">
        <v>85</v>
      </c>
      <c r="N80" t="s">
        <v>44</v>
      </c>
      <c r="O80" t="s">
        <v>55</v>
      </c>
      <c r="P80" t="s">
        <v>34</v>
      </c>
      <c r="Q80" t="s">
        <v>56</v>
      </c>
      <c r="R80">
        <v>2</v>
      </c>
      <c r="S80">
        <v>60000</v>
      </c>
      <c r="T80">
        <v>5</v>
      </c>
      <c r="U80">
        <v>120000</v>
      </c>
      <c r="V80">
        <v>96000</v>
      </c>
      <c r="W80">
        <v>24000</v>
      </c>
      <c r="X80" t="s">
        <v>36</v>
      </c>
      <c r="Y80" t="s">
        <v>37</v>
      </c>
    </row>
    <row r="81" spans="1:25" x14ac:dyDescent="0.25">
      <c r="A81">
        <v>80</v>
      </c>
      <c r="B81" t="s">
        <v>187</v>
      </c>
      <c r="C81">
        <v>2026</v>
      </c>
      <c r="D81">
        <v>1</v>
      </c>
      <c r="E81">
        <v>3</v>
      </c>
      <c r="F81">
        <v>12</v>
      </c>
      <c r="G81" t="s">
        <v>26</v>
      </c>
      <c r="H81" t="s">
        <v>49</v>
      </c>
      <c r="I81" t="s">
        <v>27</v>
      </c>
      <c r="J81" t="s">
        <v>41</v>
      </c>
      <c r="K81" t="s">
        <v>75</v>
      </c>
      <c r="L81" t="s">
        <v>43</v>
      </c>
      <c r="M81" t="s">
        <v>171</v>
      </c>
      <c r="N81" t="s">
        <v>32</v>
      </c>
      <c r="O81" t="s">
        <v>55</v>
      </c>
      <c r="P81" t="s">
        <v>34</v>
      </c>
      <c r="Q81" t="s">
        <v>56</v>
      </c>
      <c r="R81">
        <v>3</v>
      </c>
      <c r="S81">
        <v>60000</v>
      </c>
      <c r="T81">
        <v>10</v>
      </c>
      <c r="U81">
        <v>180000</v>
      </c>
      <c r="V81">
        <v>144000</v>
      </c>
      <c r="W81">
        <v>36000</v>
      </c>
      <c r="X81" t="s">
        <v>57</v>
      </c>
      <c r="Y81" t="s">
        <v>37</v>
      </c>
    </row>
    <row r="82" spans="1:25" x14ac:dyDescent="0.25">
      <c r="A82">
        <v>81</v>
      </c>
      <c r="B82" t="s">
        <v>188</v>
      </c>
      <c r="C82">
        <v>2026</v>
      </c>
      <c r="D82">
        <v>1</v>
      </c>
      <c r="E82">
        <v>3</v>
      </c>
      <c r="F82">
        <v>12</v>
      </c>
      <c r="G82" t="s">
        <v>48</v>
      </c>
      <c r="H82" t="s">
        <v>27</v>
      </c>
      <c r="I82" t="s">
        <v>49</v>
      </c>
      <c r="J82" t="s">
        <v>59</v>
      </c>
      <c r="K82" t="s">
        <v>50</v>
      </c>
      <c r="L82" t="s">
        <v>30</v>
      </c>
      <c r="M82" t="s">
        <v>151</v>
      </c>
      <c r="N82" t="s">
        <v>32</v>
      </c>
      <c r="O82" t="s">
        <v>55</v>
      </c>
      <c r="P82" t="s">
        <v>34</v>
      </c>
      <c r="Q82" t="s">
        <v>56</v>
      </c>
      <c r="R82">
        <v>9</v>
      </c>
      <c r="S82">
        <v>60000</v>
      </c>
      <c r="T82">
        <v>0</v>
      </c>
      <c r="U82">
        <v>540000</v>
      </c>
      <c r="V82">
        <v>432000</v>
      </c>
      <c r="W82">
        <v>108000</v>
      </c>
      <c r="X82" t="s">
        <v>57</v>
      </c>
      <c r="Y82" t="s">
        <v>37</v>
      </c>
    </row>
    <row r="83" spans="1:25" x14ac:dyDescent="0.25">
      <c r="A83">
        <v>82</v>
      </c>
      <c r="B83" t="s">
        <v>189</v>
      </c>
      <c r="C83">
        <v>2026</v>
      </c>
      <c r="D83">
        <v>1</v>
      </c>
      <c r="E83">
        <v>3</v>
      </c>
      <c r="F83">
        <v>13</v>
      </c>
      <c r="G83" t="s">
        <v>26</v>
      </c>
      <c r="H83" t="s">
        <v>27</v>
      </c>
      <c r="I83" t="s">
        <v>27</v>
      </c>
      <c r="J83" t="s">
        <v>41</v>
      </c>
      <c r="K83" t="s">
        <v>75</v>
      </c>
      <c r="L83" t="s">
        <v>43</v>
      </c>
      <c r="M83" t="s">
        <v>190</v>
      </c>
      <c r="N83" t="s">
        <v>32</v>
      </c>
      <c r="O83" t="s">
        <v>55</v>
      </c>
      <c r="P83" t="s">
        <v>34</v>
      </c>
      <c r="Q83" t="s">
        <v>45</v>
      </c>
      <c r="R83">
        <v>8</v>
      </c>
      <c r="S83">
        <v>60000</v>
      </c>
      <c r="T83">
        <v>0</v>
      </c>
      <c r="U83">
        <v>480000</v>
      </c>
      <c r="V83">
        <v>384000</v>
      </c>
      <c r="W83">
        <v>96000</v>
      </c>
      <c r="X83" t="s">
        <v>46</v>
      </c>
      <c r="Y83" t="s">
        <v>37</v>
      </c>
    </row>
    <row r="84" spans="1:25" x14ac:dyDescent="0.25">
      <c r="A84">
        <v>83</v>
      </c>
      <c r="B84" t="s">
        <v>191</v>
      </c>
      <c r="C84">
        <v>2026</v>
      </c>
      <c r="D84">
        <v>1</v>
      </c>
      <c r="E84">
        <v>3</v>
      </c>
      <c r="F84">
        <v>13</v>
      </c>
      <c r="G84" t="s">
        <v>48</v>
      </c>
      <c r="H84" t="s">
        <v>27</v>
      </c>
      <c r="I84" t="s">
        <v>27</v>
      </c>
      <c r="J84" t="s">
        <v>28</v>
      </c>
      <c r="K84" t="s">
        <v>50</v>
      </c>
      <c r="L84" t="s">
        <v>30</v>
      </c>
      <c r="M84" t="s">
        <v>192</v>
      </c>
      <c r="N84" t="s">
        <v>32</v>
      </c>
      <c r="O84" t="s">
        <v>77</v>
      </c>
      <c r="P84" t="s">
        <v>34</v>
      </c>
      <c r="Q84" t="s">
        <v>45</v>
      </c>
      <c r="R84">
        <v>3</v>
      </c>
      <c r="S84">
        <v>12000</v>
      </c>
      <c r="T84">
        <v>10</v>
      </c>
      <c r="U84">
        <v>36000</v>
      </c>
      <c r="V84">
        <v>28800</v>
      </c>
      <c r="W84">
        <v>7200</v>
      </c>
      <c r="X84" t="s">
        <v>57</v>
      </c>
      <c r="Y84" t="s">
        <v>37</v>
      </c>
    </row>
    <row r="85" spans="1:25" x14ac:dyDescent="0.25">
      <c r="A85">
        <v>84</v>
      </c>
      <c r="B85" t="s">
        <v>193</v>
      </c>
      <c r="C85">
        <v>2026</v>
      </c>
      <c r="D85">
        <v>1</v>
      </c>
      <c r="E85">
        <v>3</v>
      </c>
      <c r="F85">
        <v>13</v>
      </c>
      <c r="G85" t="s">
        <v>39</v>
      </c>
      <c r="H85" t="s">
        <v>40</v>
      </c>
      <c r="I85" t="s">
        <v>27</v>
      </c>
      <c r="J85" t="s">
        <v>41</v>
      </c>
      <c r="K85" t="s">
        <v>42</v>
      </c>
      <c r="L85" t="s">
        <v>30</v>
      </c>
      <c r="M85" t="s">
        <v>194</v>
      </c>
      <c r="N85" t="s">
        <v>32</v>
      </c>
      <c r="O85" t="s">
        <v>61</v>
      </c>
      <c r="P85" t="s">
        <v>34</v>
      </c>
      <c r="Q85" t="s">
        <v>56</v>
      </c>
      <c r="R85">
        <v>6</v>
      </c>
      <c r="S85">
        <v>1500</v>
      </c>
      <c r="T85">
        <v>5</v>
      </c>
      <c r="U85">
        <v>9000</v>
      </c>
      <c r="V85">
        <v>7200</v>
      </c>
      <c r="W85">
        <v>1800</v>
      </c>
      <c r="X85" t="s">
        <v>46</v>
      </c>
      <c r="Y85" t="s">
        <v>37</v>
      </c>
    </row>
    <row r="86" spans="1:25" x14ac:dyDescent="0.25">
      <c r="A86">
        <v>85</v>
      </c>
      <c r="B86" t="s">
        <v>195</v>
      </c>
      <c r="C86">
        <v>2026</v>
      </c>
      <c r="D86">
        <v>1</v>
      </c>
      <c r="E86">
        <v>3</v>
      </c>
      <c r="F86">
        <v>13</v>
      </c>
      <c r="G86" t="s">
        <v>39</v>
      </c>
      <c r="H86" t="s">
        <v>40</v>
      </c>
      <c r="I86" t="s">
        <v>27</v>
      </c>
      <c r="J86" t="s">
        <v>59</v>
      </c>
      <c r="K86" t="s">
        <v>29</v>
      </c>
      <c r="L86" t="s">
        <v>30</v>
      </c>
      <c r="M86" t="s">
        <v>82</v>
      </c>
      <c r="N86" t="s">
        <v>44</v>
      </c>
      <c r="O86" t="s">
        <v>77</v>
      </c>
      <c r="P86" t="s">
        <v>34</v>
      </c>
      <c r="Q86" t="s">
        <v>56</v>
      </c>
      <c r="R86">
        <v>6</v>
      </c>
      <c r="S86">
        <v>12000</v>
      </c>
      <c r="T86">
        <v>5</v>
      </c>
      <c r="U86">
        <v>72000</v>
      </c>
      <c r="V86">
        <v>57600</v>
      </c>
      <c r="W86">
        <v>14400</v>
      </c>
      <c r="X86" t="s">
        <v>46</v>
      </c>
      <c r="Y86" t="s">
        <v>37</v>
      </c>
    </row>
    <row r="87" spans="1:25" x14ac:dyDescent="0.25">
      <c r="A87">
        <v>86</v>
      </c>
      <c r="B87" t="s">
        <v>196</v>
      </c>
      <c r="C87">
        <v>2026</v>
      </c>
      <c r="D87">
        <v>1</v>
      </c>
      <c r="E87">
        <v>3</v>
      </c>
      <c r="F87">
        <v>13</v>
      </c>
      <c r="G87" t="s">
        <v>39</v>
      </c>
      <c r="H87" t="s">
        <v>40</v>
      </c>
      <c r="I87" t="s">
        <v>66</v>
      </c>
      <c r="J87" t="s">
        <v>41</v>
      </c>
      <c r="K87" t="s">
        <v>75</v>
      </c>
      <c r="L87" t="s">
        <v>43</v>
      </c>
      <c r="M87" t="s">
        <v>99</v>
      </c>
      <c r="N87" t="s">
        <v>44</v>
      </c>
      <c r="O87" t="s">
        <v>77</v>
      </c>
      <c r="P87" t="s">
        <v>34</v>
      </c>
      <c r="Q87" t="s">
        <v>35</v>
      </c>
      <c r="R87">
        <v>7</v>
      </c>
      <c r="S87">
        <v>12000</v>
      </c>
      <c r="T87">
        <v>10</v>
      </c>
      <c r="U87">
        <v>84000</v>
      </c>
      <c r="V87">
        <v>67200</v>
      </c>
      <c r="W87">
        <v>16800</v>
      </c>
      <c r="X87" t="s">
        <v>36</v>
      </c>
      <c r="Y87" t="s">
        <v>37</v>
      </c>
    </row>
    <row r="88" spans="1:25" x14ac:dyDescent="0.25">
      <c r="A88">
        <v>87</v>
      </c>
      <c r="B88" t="s">
        <v>197</v>
      </c>
      <c r="C88">
        <v>2026</v>
      </c>
      <c r="D88">
        <v>1</v>
      </c>
      <c r="E88">
        <v>3</v>
      </c>
      <c r="F88">
        <v>13</v>
      </c>
      <c r="G88" t="s">
        <v>26</v>
      </c>
      <c r="H88" t="s">
        <v>40</v>
      </c>
      <c r="I88" t="s">
        <v>27</v>
      </c>
      <c r="J88" t="s">
        <v>28</v>
      </c>
      <c r="K88" t="s">
        <v>42</v>
      </c>
      <c r="L88" t="s">
        <v>30</v>
      </c>
      <c r="M88" t="s">
        <v>198</v>
      </c>
      <c r="N88" t="s">
        <v>32</v>
      </c>
      <c r="O88" t="s">
        <v>77</v>
      </c>
      <c r="P88" t="s">
        <v>34</v>
      </c>
      <c r="Q88" t="s">
        <v>56</v>
      </c>
      <c r="R88">
        <v>3</v>
      </c>
      <c r="S88">
        <v>12000</v>
      </c>
      <c r="T88">
        <v>0</v>
      </c>
      <c r="U88">
        <v>36000</v>
      </c>
      <c r="V88">
        <v>28800</v>
      </c>
      <c r="W88">
        <v>7200</v>
      </c>
      <c r="X88" t="s">
        <v>46</v>
      </c>
      <c r="Y88" t="s">
        <v>37</v>
      </c>
    </row>
    <row r="89" spans="1:25" x14ac:dyDescent="0.25">
      <c r="A89">
        <v>88</v>
      </c>
      <c r="B89" t="s">
        <v>199</v>
      </c>
      <c r="C89">
        <v>2026</v>
      </c>
      <c r="D89">
        <v>1</v>
      </c>
      <c r="E89">
        <v>3</v>
      </c>
      <c r="F89">
        <v>13</v>
      </c>
      <c r="G89" t="s">
        <v>26</v>
      </c>
      <c r="H89" t="s">
        <v>40</v>
      </c>
      <c r="I89" t="s">
        <v>66</v>
      </c>
      <c r="J89" t="s">
        <v>28</v>
      </c>
      <c r="K89" t="s">
        <v>42</v>
      </c>
      <c r="L89" t="s">
        <v>43</v>
      </c>
      <c r="M89" t="s">
        <v>146</v>
      </c>
      <c r="N89" t="s">
        <v>44</v>
      </c>
      <c r="O89" t="s">
        <v>55</v>
      </c>
      <c r="P89" t="s">
        <v>34</v>
      </c>
      <c r="Q89" t="s">
        <v>56</v>
      </c>
      <c r="R89">
        <v>2</v>
      </c>
      <c r="S89">
        <v>60000</v>
      </c>
      <c r="T89">
        <v>5</v>
      </c>
      <c r="U89">
        <v>120000</v>
      </c>
      <c r="V89">
        <v>96000</v>
      </c>
      <c r="W89">
        <v>24000</v>
      </c>
      <c r="X89" t="s">
        <v>36</v>
      </c>
      <c r="Y89" t="s">
        <v>37</v>
      </c>
    </row>
    <row r="90" spans="1:25" x14ac:dyDescent="0.25">
      <c r="A90">
        <v>89</v>
      </c>
      <c r="B90" t="s">
        <v>200</v>
      </c>
      <c r="C90">
        <v>2026</v>
      </c>
      <c r="D90">
        <v>1</v>
      </c>
      <c r="E90">
        <v>3</v>
      </c>
      <c r="F90">
        <v>14</v>
      </c>
      <c r="G90" t="s">
        <v>39</v>
      </c>
      <c r="H90" t="s">
        <v>27</v>
      </c>
      <c r="I90" t="s">
        <v>27</v>
      </c>
      <c r="J90" t="s">
        <v>59</v>
      </c>
      <c r="K90" t="s">
        <v>75</v>
      </c>
      <c r="L90" t="s">
        <v>30</v>
      </c>
      <c r="M90" t="s">
        <v>131</v>
      </c>
      <c r="N90" t="s">
        <v>44</v>
      </c>
      <c r="O90" t="s">
        <v>55</v>
      </c>
      <c r="P90" t="s">
        <v>34</v>
      </c>
      <c r="Q90" t="s">
        <v>45</v>
      </c>
      <c r="R90">
        <v>2</v>
      </c>
      <c r="S90">
        <v>60000</v>
      </c>
      <c r="T90">
        <v>10</v>
      </c>
      <c r="U90">
        <v>120000</v>
      </c>
      <c r="V90">
        <v>96000</v>
      </c>
      <c r="W90">
        <v>24000</v>
      </c>
      <c r="X90" t="s">
        <v>36</v>
      </c>
      <c r="Y90" t="s">
        <v>37</v>
      </c>
    </row>
    <row r="91" spans="1:25" x14ac:dyDescent="0.25">
      <c r="A91">
        <v>90</v>
      </c>
      <c r="B91" t="s">
        <v>201</v>
      </c>
      <c r="C91">
        <v>2026</v>
      </c>
      <c r="D91">
        <v>1</v>
      </c>
      <c r="E91">
        <v>3</v>
      </c>
      <c r="F91">
        <v>14</v>
      </c>
      <c r="G91" t="s">
        <v>39</v>
      </c>
      <c r="H91" t="s">
        <v>49</v>
      </c>
      <c r="I91" t="s">
        <v>27</v>
      </c>
      <c r="J91" t="s">
        <v>41</v>
      </c>
      <c r="K91" t="s">
        <v>75</v>
      </c>
      <c r="L91" t="s">
        <v>43</v>
      </c>
      <c r="M91" t="s">
        <v>202</v>
      </c>
      <c r="N91" t="s">
        <v>32</v>
      </c>
      <c r="O91" t="s">
        <v>52</v>
      </c>
      <c r="P91" t="s">
        <v>34</v>
      </c>
      <c r="Q91" t="s">
        <v>35</v>
      </c>
      <c r="R91">
        <v>8</v>
      </c>
      <c r="S91">
        <v>1800</v>
      </c>
      <c r="T91">
        <v>0</v>
      </c>
      <c r="U91">
        <v>14400</v>
      </c>
      <c r="V91">
        <v>11520</v>
      </c>
      <c r="W91">
        <v>2880</v>
      </c>
      <c r="X91" t="s">
        <v>46</v>
      </c>
      <c r="Y91" t="s">
        <v>37</v>
      </c>
    </row>
    <row r="92" spans="1:25" x14ac:dyDescent="0.25">
      <c r="A92">
        <v>91</v>
      </c>
      <c r="B92" t="s">
        <v>203</v>
      </c>
      <c r="C92">
        <v>2026</v>
      </c>
      <c r="D92">
        <v>2</v>
      </c>
      <c r="E92">
        <v>4</v>
      </c>
      <c r="F92">
        <v>14</v>
      </c>
      <c r="G92" t="s">
        <v>39</v>
      </c>
      <c r="H92" t="s">
        <v>40</v>
      </c>
      <c r="I92" t="s">
        <v>49</v>
      </c>
      <c r="J92" t="s">
        <v>41</v>
      </c>
      <c r="K92" t="s">
        <v>75</v>
      </c>
      <c r="L92" t="s">
        <v>30</v>
      </c>
      <c r="M92" t="s">
        <v>204</v>
      </c>
      <c r="N92" t="s">
        <v>44</v>
      </c>
      <c r="O92" t="s">
        <v>55</v>
      </c>
      <c r="P92" t="s">
        <v>34</v>
      </c>
      <c r="Q92" t="s">
        <v>64</v>
      </c>
      <c r="R92">
        <v>10</v>
      </c>
      <c r="S92">
        <v>60000</v>
      </c>
      <c r="T92">
        <v>10</v>
      </c>
      <c r="U92">
        <v>600000</v>
      </c>
      <c r="V92">
        <v>480000</v>
      </c>
      <c r="W92">
        <v>120000</v>
      </c>
      <c r="X92" t="s">
        <v>57</v>
      </c>
      <c r="Y92" t="s">
        <v>37</v>
      </c>
    </row>
    <row r="93" spans="1:25" x14ac:dyDescent="0.25">
      <c r="A93">
        <v>92</v>
      </c>
      <c r="B93" t="s">
        <v>205</v>
      </c>
      <c r="C93">
        <v>2026</v>
      </c>
      <c r="D93">
        <v>2</v>
      </c>
      <c r="E93">
        <v>4</v>
      </c>
      <c r="F93">
        <v>14</v>
      </c>
      <c r="G93" t="s">
        <v>26</v>
      </c>
      <c r="H93" t="s">
        <v>40</v>
      </c>
      <c r="I93" t="s">
        <v>49</v>
      </c>
      <c r="J93" t="s">
        <v>59</v>
      </c>
      <c r="K93" t="s">
        <v>50</v>
      </c>
      <c r="L93" t="s">
        <v>30</v>
      </c>
      <c r="M93" t="s">
        <v>127</v>
      </c>
      <c r="N93" t="s">
        <v>32</v>
      </c>
      <c r="O93" t="s">
        <v>77</v>
      </c>
      <c r="P93" t="s">
        <v>34</v>
      </c>
      <c r="Q93" t="s">
        <v>64</v>
      </c>
      <c r="R93">
        <v>9</v>
      </c>
      <c r="S93">
        <v>12000</v>
      </c>
      <c r="T93">
        <v>10</v>
      </c>
      <c r="U93">
        <v>108000</v>
      </c>
      <c r="V93">
        <v>86400</v>
      </c>
      <c r="W93">
        <v>21600</v>
      </c>
      <c r="X93" t="s">
        <v>36</v>
      </c>
      <c r="Y93" t="s">
        <v>37</v>
      </c>
    </row>
    <row r="94" spans="1:25" x14ac:dyDescent="0.25">
      <c r="A94">
        <v>93</v>
      </c>
      <c r="B94" t="s">
        <v>206</v>
      </c>
      <c r="C94">
        <v>2026</v>
      </c>
      <c r="D94">
        <v>2</v>
      </c>
      <c r="E94">
        <v>4</v>
      </c>
      <c r="F94">
        <v>14</v>
      </c>
      <c r="G94" t="s">
        <v>39</v>
      </c>
      <c r="H94" t="s">
        <v>40</v>
      </c>
      <c r="I94" t="s">
        <v>27</v>
      </c>
      <c r="J94" t="s">
        <v>59</v>
      </c>
      <c r="K94" t="s">
        <v>50</v>
      </c>
      <c r="L94" t="s">
        <v>30</v>
      </c>
      <c r="M94" t="s">
        <v>207</v>
      </c>
      <c r="N94" t="s">
        <v>44</v>
      </c>
      <c r="O94" t="s">
        <v>52</v>
      </c>
      <c r="P94" t="s">
        <v>34</v>
      </c>
      <c r="Q94" t="s">
        <v>45</v>
      </c>
      <c r="R94">
        <v>6</v>
      </c>
      <c r="S94">
        <v>1800</v>
      </c>
      <c r="T94">
        <v>0</v>
      </c>
      <c r="U94">
        <v>10800</v>
      </c>
      <c r="V94">
        <v>8640</v>
      </c>
      <c r="W94">
        <v>2160</v>
      </c>
      <c r="X94" t="s">
        <v>57</v>
      </c>
      <c r="Y94" t="s">
        <v>37</v>
      </c>
    </row>
    <row r="95" spans="1:25" x14ac:dyDescent="0.25">
      <c r="A95">
        <v>94</v>
      </c>
      <c r="B95" t="s">
        <v>208</v>
      </c>
      <c r="C95">
        <v>2026</v>
      </c>
      <c r="D95">
        <v>2</v>
      </c>
      <c r="E95">
        <v>4</v>
      </c>
      <c r="F95">
        <v>14</v>
      </c>
      <c r="G95" t="s">
        <v>26</v>
      </c>
      <c r="H95" t="s">
        <v>40</v>
      </c>
      <c r="I95" t="s">
        <v>27</v>
      </c>
      <c r="J95" t="s">
        <v>28</v>
      </c>
      <c r="K95" t="s">
        <v>75</v>
      </c>
      <c r="L95" t="s">
        <v>30</v>
      </c>
      <c r="M95" t="s">
        <v>202</v>
      </c>
      <c r="N95" t="s">
        <v>44</v>
      </c>
      <c r="O95" t="s">
        <v>52</v>
      </c>
      <c r="P95" t="s">
        <v>34</v>
      </c>
      <c r="Q95" t="s">
        <v>64</v>
      </c>
      <c r="R95">
        <v>7</v>
      </c>
      <c r="S95">
        <v>1800</v>
      </c>
      <c r="T95">
        <v>5</v>
      </c>
      <c r="U95">
        <v>12600</v>
      </c>
      <c r="V95">
        <v>10080</v>
      </c>
      <c r="W95">
        <v>2520</v>
      </c>
      <c r="X95" t="s">
        <v>57</v>
      </c>
      <c r="Y95" t="s">
        <v>37</v>
      </c>
    </row>
    <row r="96" spans="1:25" x14ac:dyDescent="0.25">
      <c r="A96">
        <v>95</v>
      </c>
      <c r="B96" t="s">
        <v>209</v>
      </c>
      <c r="C96">
        <v>2026</v>
      </c>
      <c r="D96">
        <v>2</v>
      </c>
      <c r="E96">
        <v>4</v>
      </c>
      <c r="F96">
        <v>14</v>
      </c>
      <c r="G96" t="s">
        <v>39</v>
      </c>
      <c r="H96" t="s">
        <v>40</v>
      </c>
      <c r="I96" t="s">
        <v>49</v>
      </c>
      <c r="J96" t="s">
        <v>41</v>
      </c>
      <c r="K96" t="s">
        <v>29</v>
      </c>
      <c r="L96" t="s">
        <v>43</v>
      </c>
      <c r="M96" t="s">
        <v>210</v>
      </c>
      <c r="N96" t="s">
        <v>44</v>
      </c>
      <c r="O96" t="s">
        <v>77</v>
      </c>
      <c r="P96" t="s">
        <v>34</v>
      </c>
      <c r="Q96" t="s">
        <v>45</v>
      </c>
      <c r="R96">
        <v>1</v>
      </c>
      <c r="S96">
        <v>12000</v>
      </c>
      <c r="T96">
        <v>0</v>
      </c>
      <c r="U96">
        <v>12000</v>
      </c>
      <c r="V96">
        <v>9600</v>
      </c>
      <c r="W96">
        <v>2400</v>
      </c>
      <c r="X96" t="s">
        <v>46</v>
      </c>
      <c r="Y96" t="s">
        <v>37</v>
      </c>
    </row>
    <row r="97" spans="1:25" x14ac:dyDescent="0.25">
      <c r="A97">
        <v>96</v>
      </c>
      <c r="B97" t="s">
        <v>211</v>
      </c>
      <c r="C97">
        <v>2026</v>
      </c>
      <c r="D97">
        <v>2</v>
      </c>
      <c r="E97">
        <v>4</v>
      </c>
      <c r="F97">
        <v>15</v>
      </c>
      <c r="G97" t="s">
        <v>39</v>
      </c>
      <c r="H97" t="s">
        <v>40</v>
      </c>
      <c r="I97" t="s">
        <v>49</v>
      </c>
      <c r="J97" t="s">
        <v>41</v>
      </c>
      <c r="K97" t="s">
        <v>50</v>
      </c>
      <c r="L97" t="s">
        <v>30</v>
      </c>
      <c r="M97" t="s">
        <v>166</v>
      </c>
      <c r="N97" t="s">
        <v>44</v>
      </c>
      <c r="O97" t="s">
        <v>55</v>
      </c>
      <c r="P97" t="s">
        <v>34</v>
      </c>
      <c r="Q97" t="s">
        <v>45</v>
      </c>
      <c r="R97">
        <v>1</v>
      </c>
      <c r="S97">
        <v>60000</v>
      </c>
      <c r="T97">
        <v>5</v>
      </c>
      <c r="U97">
        <v>60000</v>
      </c>
      <c r="V97">
        <v>48000</v>
      </c>
      <c r="W97">
        <v>12000</v>
      </c>
      <c r="X97" t="s">
        <v>46</v>
      </c>
      <c r="Y97" t="s">
        <v>37</v>
      </c>
    </row>
    <row r="98" spans="1:25" x14ac:dyDescent="0.25">
      <c r="A98">
        <v>97</v>
      </c>
      <c r="B98" t="s">
        <v>212</v>
      </c>
      <c r="C98">
        <v>2026</v>
      </c>
      <c r="D98">
        <v>2</v>
      </c>
      <c r="E98">
        <v>4</v>
      </c>
      <c r="F98">
        <v>15</v>
      </c>
      <c r="G98" t="s">
        <v>48</v>
      </c>
      <c r="H98" t="s">
        <v>49</v>
      </c>
      <c r="I98" t="s">
        <v>66</v>
      </c>
      <c r="J98" t="s">
        <v>59</v>
      </c>
      <c r="K98" t="s">
        <v>50</v>
      </c>
      <c r="L98" t="s">
        <v>30</v>
      </c>
      <c r="M98" t="s">
        <v>213</v>
      </c>
      <c r="N98" t="s">
        <v>32</v>
      </c>
      <c r="O98" t="s">
        <v>77</v>
      </c>
      <c r="P98" t="s">
        <v>34</v>
      </c>
      <c r="Q98" t="s">
        <v>56</v>
      </c>
      <c r="R98">
        <v>6</v>
      </c>
      <c r="S98">
        <v>12000</v>
      </c>
      <c r="T98">
        <v>10</v>
      </c>
      <c r="U98">
        <v>72000</v>
      </c>
      <c r="V98">
        <v>57600</v>
      </c>
      <c r="W98">
        <v>14400</v>
      </c>
      <c r="X98" t="s">
        <v>46</v>
      </c>
      <c r="Y98" t="s">
        <v>37</v>
      </c>
    </row>
    <row r="99" spans="1:25" x14ac:dyDescent="0.25">
      <c r="A99">
        <v>98</v>
      </c>
      <c r="B99" t="s">
        <v>214</v>
      </c>
      <c r="C99">
        <v>2026</v>
      </c>
      <c r="D99">
        <v>2</v>
      </c>
      <c r="E99">
        <v>4</v>
      </c>
      <c r="F99">
        <v>15</v>
      </c>
      <c r="G99" t="s">
        <v>48</v>
      </c>
      <c r="H99" t="s">
        <v>40</v>
      </c>
      <c r="I99" t="s">
        <v>49</v>
      </c>
      <c r="J99" t="s">
        <v>41</v>
      </c>
      <c r="K99" t="s">
        <v>75</v>
      </c>
      <c r="L99" t="s">
        <v>43</v>
      </c>
      <c r="M99" t="s">
        <v>181</v>
      </c>
      <c r="N99" t="s">
        <v>32</v>
      </c>
      <c r="O99" t="s">
        <v>77</v>
      </c>
      <c r="P99" t="s">
        <v>34</v>
      </c>
      <c r="Q99" t="s">
        <v>64</v>
      </c>
      <c r="R99">
        <v>5</v>
      </c>
      <c r="S99">
        <v>12000</v>
      </c>
      <c r="T99">
        <v>5</v>
      </c>
      <c r="U99">
        <v>60000</v>
      </c>
      <c r="V99">
        <v>48000</v>
      </c>
      <c r="W99">
        <v>12000</v>
      </c>
      <c r="X99" t="s">
        <v>36</v>
      </c>
      <c r="Y99" t="s">
        <v>37</v>
      </c>
    </row>
    <row r="100" spans="1:25" x14ac:dyDescent="0.25">
      <c r="A100">
        <v>99</v>
      </c>
      <c r="B100" t="s">
        <v>215</v>
      </c>
      <c r="C100">
        <v>2026</v>
      </c>
      <c r="D100">
        <v>2</v>
      </c>
      <c r="E100">
        <v>4</v>
      </c>
      <c r="F100">
        <v>15</v>
      </c>
      <c r="G100" t="s">
        <v>26</v>
      </c>
      <c r="H100" t="s">
        <v>40</v>
      </c>
      <c r="I100" t="s">
        <v>66</v>
      </c>
      <c r="J100" t="s">
        <v>28</v>
      </c>
      <c r="K100" t="s">
        <v>42</v>
      </c>
      <c r="L100" t="s">
        <v>43</v>
      </c>
      <c r="M100" t="s">
        <v>216</v>
      </c>
      <c r="N100" t="s">
        <v>44</v>
      </c>
      <c r="O100" t="s">
        <v>52</v>
      </c>
      <c r="P100" t="s">
        <v>34</v>
      </c>
      <c r="Q100" t="s">
        <v>35</v>
      </c>
      <c r="R100">
        <v>9</v>
      </c>
      <c r="S100">
        <v>1800</v>
      </c>
      <c r="T100">
        <v>0</v>
      </c>
      <c r="U100">
        <v>16200</v>
      </c>
      <c r="V100">
        <v>12960</v>
      </c>
      <c r="W100">
        <v>3240</v>
      </c>
      <c r="X100" t="s">
        <v>36</v>
      </c>
      <c r="Y100" t="s">
        <v>37</v>
      </c>
    </row>
    <row r="101" spans="1:25" x14ac:dyDescent="0.25">
      <c r="A101">
        <v>100</v>
      </c>
      <c r="B101" t="s">
        <v>217</v>
      </c>
      <c r="C101">
        <v>2026</v>
      </c>
      <c r="D101">
        <v>2</v>
      </c>
      <c r="E101">
        <v>4</v>
      </c>
      <c r="F101">
        <v>15</v>
      </c>
      <c r="G101" t="s">
        <v>48</v>
      </c>
      <c r="H101" t="s">
        <v>49</v>
      </c>
      <c r="I101" t="s">
        <v>49</v>
      </c>
      <c r="J101" t="s">
        <v>28</v>
      </c>
      <c r="K101" t="s">
        <v>29</v>
      </c>
      <c r="L101" t="s">
        <v>43</v>
      </c>
      <c r="M101" t="s">
        <v>69</v>
      </c>
      <c r="N101" t="s">
        <v>44</v>
      </c>
      <c r="O101" t="s">
        <v>61</v>
      </c>
      <c r="P101" t="s">
        <v>34</v>
      </c>
      <c r="Q101" t="s">
        <v>64</v>
      </c>
      <c r="R101">
        <v>9</v>
      </c>
      <c r="S101">
        <v>1500</v>
      </c>
      <c r="T101">
        <v>5</v>
      </c>
      <c r="U101">
        <v>13500</v>
      </c>
      <c r="V101">
        <v>10800</v>
      </c>
      <c r="W101">
        <v>2700</v>
      </c>
      <c r="X101" t="s">
        <v>46</v>
      </c>
      <c r="Y101" t="s">
        <v>37</v>
      </c>
    </row>
    <row r="102" spans="1:25" x14ac:dyDescent="0.25">
      <c r="A102">
        <v>101</v>
      </c>
      <c r="B102" t="s">
        <v>218</v>
      </c>
      <c r="C102">
        <v>2026</v>
      </c>
      <c r="D102">
        <v>2</v>
      </c>
      <c r="E102">
        <v>4</v>
      </c>
      <c r="F102">
        <v>15</v>
      </c>
      <c r="G102" t="s">
        <v>39</v>
      </c>
      <c r="H102" t="s">
        <v>49</v>
      </c>
      <c r="I102" t="s">
        <v>66</v>
      </c>
      <c r="J102" t="s">
        <v>59</v>
      </c>
      <c r="K102" t="s">
        <v>50</v>
      </c>
      <c r="L102" t="s">
        <v>30</v>
      </c>
      <c r="M102" t="s">
        <v>63</v>
      </c>
      <c r="N102" t="s">
        <v>44</v>
      </c>
      <c r="O102" t="s">
        <v>33</v>
      </c>
      <c r="P102" t="s">
        <v>34</v>
      </c>
      <c r="Q102" t="s">
        <v>64</v>
      </c>
      <c r="R102">
        <v>5</v>
      </c>
      <c r="S102">
        <v>15000</v>
      </c>
      <c r="T102">
        <v>0</v>
      </c>
      <c r="U102">
        <v>75000</v>
      </c>
      <c r="V102">
        <v>60000</v>
      </c>
      <c r="W102">
        <v>15000</v>
      </c>
      <c r="X102" t="s">
        <v>36</v>
      </c>
      <c r="Y102" t="s">
        <v>37</v>
      </c>
    </row>
    <row r="103" spans="1:25" x14ac:dyDescent="0.25">
      <c r="A103">
        <v>102</v>
      </c>
      <c r="B103" t="s">
        <v>219</v>
      </c>
      <c r="C103">
        <v>2026</v>
      </c>
      <c r="D103">
        <v>2</v>
      </c>
      <c r="E103">
        <v>4</v>
      </c>
      <c r="F103">
        <v>15</v>
      </c>
      <c r="G103" t="s">
        <v>39</v>
      </c>
      <c r="H103" t="s">
        <v>40</v>
      </c>
      <c r="I103" t="s">
        <v>49</v>
      </c>
      <c r="J103" t="s">
        <v>59</v>
      </c>
      <c r="K103" t="s">
        <v>29</v>
      </c>
      <c r="L103" t="s">
        <v>30</v>
      </c>
      <c r="M103" t="s">
        <v>153</v>
      </c>
      <c r="N103" t="s">
        <v>44</v>
      </c>
      <c r="O103" t="s">
        <v>33</v>
      </c>
      <c r="P103" t="s">
        <v>34</v>
      </c>
      <c r="Q103" t="s">
        <v>35</v>
      </c>
      <c r="R103">
        <v>6</v>
      </c>
      <c r="S103">
        <v>15000</v>
      </c>
      <c r="T103">
        <v>10</v>
      </c>
      <c r="U103">
        <v>90000</v>
      </c>
      <c r="V103">
        <v>72000</v>
      </c>
      <c r="W103">
        <v>18000</v>
      </c>
      <c r="X103" t="s">
        <v>36</v>
      </c>
      <c r="Y103" t="s">
        <v>37</v>
      </c>
    </row>
    <row r="104" spans="1:25" x14ac:dyDescent="0.25">
      <c r="A104">
        <v>103</v>
      </c>
      <c r="B104" t="s">
        <v>220</v>
      </c>
      <c r="C104">
        <v>2026</v>
      </c>
      <c r="D104">
        <v>2</v>
      </c>
      <c r="E104">
        <v>4</v>
      </c>
      <c r="F104">
        <v>16</v>
      </c>
      <c r="G104" t="s">
        <v>48</v>
      </c>
      <c r="H104" t="s">
        <v>49</v>
      </c>
      <c r="I104" t="s">
        <v>49</v>
      </c>
      <c r="J104" t="s">
        <v>41</v>
      </c>
      <c r="K104" t="s">
        <v>29</v>
      </c>
      <c r="L104" t="s">
        <v>43</v>
      </c>
      <c r="M104" t="s">
        <v>221</v>
      </c>
      <c r="N104" t="s">
        <v>32</v>
      </c>
      <c r="O104" t="s">
        <v>52</v>
      </c>
      <c r="P104" t="s">
        <v>34</v>
      </c>
      <c r="Q104" t="s">
        <v>64</v>
      </c>
      <c r="R104">
        <v>3</v>
      </c>
      <c r="S104">
        <v>1800</v>
      </c>
      <c r="T104">
        <v>0</v>
      </c>
      <c r="U104">
        <v>5400</v>
      </c>
      <c r="V104">
        <v>4320</v>
      </c>
      <c r="W104">
        <v>1080</v>
      </c>
      <c r="X104" t="s">
        <v>46</v>
      </c>
      <c r="Y104" t="s">
        <v>37</v>
      </c>
    </row>
    <row r="105" spans="1:25" x14ac:dyDescent="0.25">
      <c r="A105">
        <v>104</v>
      </c>
      <c r="B105" t="s">
        <v>222</v>
      </c>
      <c r="C105">
        <v>2026</v>
      </c>
      <c r="D105">
        <v>2</v>
      </c>
      <c r="E105">
        <v>4</v>
      </c>
      <c r="F105">
        <v>16</v>
      </c>
      <c r="G105" t="s">
        <v>39</v>
      </c>
      <c r="H105" t="s">
        <v>27</v>
      </c>
      <c r="I105" t="s">
        <v>27</v>
      </c>
      <c r="J105" t="s">
        <v>28</v>
      </c>
      <c r="K105" t="s">
        <v>42</v>
      </c>
      <c r="L105" t="s">
        <v>43</v>
      </c>
      <c r="M105" t="s">
        <v>190</v>
      </c>
      <c r="N105" t="s">
        <v>44</v>
      </c>
      <c r="O105" t="s">
        <v>77</v>
      </c>
      <c r="P105" t="s">
        <v>34</v>
      </c>
      <c r="Q105" t="s">
        <v>64</v>
      </c>
      <c r="R105">
        <v>9</v>
      </c>
      <c r="S105">
        <v>12000</v>
      </c>
      <c r="T105">
        <v>5</v>
      </c>
      <c r="U105">
        <v>108000</v>
      </c>
      <c r="V105">
        <v>86400</v>
      </c>
      <c r="W105">
        <v>21600</v>
      </c>
      <c r="X105" t="s">
        <v>46</v>
      </c>
      <c r="Y105" t="s">
        <v>37</v>
      </c>
    </row>
    <row r="106" spans="1:25" x14ac:dyDescent="0.25">
      <c r="A106">
        <v>105</v>
      </c>
      <c r="B106" t="s">
        <v>223</v>
      </c>
      <c r="C106">
        <v>2026</v>
      </c>
      <c r="D106">
        <v>2</v>
      </c>
      <c r="E106">
        <v>4</v>
      </c>
      <c r="F106">
        <v>16</v>
      </c>
      <c r="G106" t="s">
        <v>48</v>
      </c>
      <c r="H106" t="s">
        <v>40</v>
      </c>
      <c r="I106" t="s">
        <v>66</v>
      </c>
      <c r="J106" t="s">
        <v>41</v>
      </c>
      <c r="K106" t="s">
        <v>42</v>
      </c>
      <c r="L106" t="s">
        <v>43</v>
      </c>
      <c r="M106" t="s">
        <v>224</v>
      </c>
      <c r="N106" t="s">
        <v>32</v>
      </c>
      <c r="O106" t="s">
        <v>55</v>
      </c>
      <c r="P106" t="s">
        <v>34</v>
      </c>
      <c r="Q106" t="s">
        <v>64</v>
      </c>
      <c r="R106">
        <v>9</v>
      </c>
      <c r="S106">
        <v>60000</v>
      </c>
      <c r="T106">
        <v>10</v>
      </c>
      <c r="U106">
        <v>540000</v>
      </c>
      <c r="V106">
        <v>432000</v>
      </c>
      <c r="W106">
        <v>108000</v>
      </c>
      <c r="X106" t="s">
        <v>57</v>
      </c>
      <c r="Y106" t="s">
        <v>37</v>
      </c>
    </row>
    <row r="107" spans="1:25" x14ac:dyDescent="0.25">
      <c r="A107">
        <v>106</v>
      </c>
      <c r="B107" t="s">
        <v>225</v>
      </c>
      <c r="C107">
        <v>2026</v>
      </c>
      <c r="D107">
        <v>2</v>
      </c>
      <c r="E107">
        <v>4</v>
      </c>
      <c r="F107">
        <v>16</v>
      </c>
      <c r="G107" t="s">
        <v>48</v>
      </c>
      <c r="H107" t="s">
        <v>49</v>
      </c>
      <c r="I107" t="s">
        <v>66</v>
      </c>
      <c r="J107" t="s">
        <v>41</v>
      </c>
      <c r="K107" t="s">
        <v>29</v>
      </c>
      <c r="L107" t="s">
        <v>43</v>
      </c>
      <c r="M107" t="s">
        <v>171</v>
      </c>
      <c r="N107" t="s">
        <v>32</v>
      </c>
      <c r="O107" t="s">
        <v>33</v>
      </c>
      <c r="P107" t="s">
        <v>34</v>
      </c>
      <c r="Q107" t="s">
        <v>56</v>
      </c>
      <c r="R107">
        <v>6</v>
      </c>
      <c r="S107">
        <v>15000</v>
      </c>
      <c r="T107">
        <v>10</v>
      </c>
      <c r="U107">
        <v>90000</v>
      </c>
      <c r="V107">
        <v>72000</v>
      </c>
      <c r="W107">
        <v>18000</v>
      </c>
      <c r="X107" t="s">
        <v>36</v>
      </c>
      <c r="Y107" t="s">
        <v>37</v>
      </c>
    </row>
    <row r="108" spans="1:25" x14ac:dyDescent="0.25">
      <c r="A108">
        <v>107</v>
      </c>
      <c r="B108" t="s">
        <v>226</v>
      </c>
      <c r="C108">
        <v>2026</v>
      </c>
      <c r="D108">
        <v>2</v>
      </c>
      <c r="E108">
        <v>4</v>
      </c>
      <c r="F108">
        <v>16</v>
      </c>
      <c r="G108" t="s">
        <v>48</v>
      </c>
      <c r="H108" t="s">
        <v>40</v>
      </c>
      <c r="I108" t="s">
        <v>27</v>
      </c>
      <c r="J108" t="s">
        <v>41</v>
      </c>
      <c r="K108" t="s">
        <v>75</v>
      </c>
      <c r="L108" t="s">
        <v>43</v>
      </c>
      <c r="M108" t="s">
        <v>227</v>
      </c>
      <c r="N108" t="s">
        <v>32</v>
      </c>
      <c r="O108" t="s">
        <v>61</v>
      </c>
      <c r="P108" t="s">
        <v>34</v>
      </c>
      <c r="Q108" t="s">
        <v>45</v>
      </c>
      <c r="R108">
        <v>8</v>
      </c>
      <c r="S108">
        <v>1500</v>
      </c>
      <c r="T108">
        <v>5</v>
      </c>
      <c r="U108">
        <v>12000</v>
      </c>
      <c r="V108">
        <v>9600</v>
      </c>
      <c r="W108">
        <v>2400</v>
      </c>
      <c r="X108" t="s">
        <v>36</v>
      </c>
      <c r="Y108" t="s">
        <v>37</v>
      </c>
    </row>
    <row r="109" spans="1:25" x14ac:dyDescent="0.25">
      <c r="A109">
        <v>108</v>
      </c>
      <c r="B109" t="s">
        <v>228</v>
      </c>
      <c r="C109">
        <v>2026</v>
      </c>
      <c r="D109">
        <v>2</v>
      </c>
      <c r="E109">
        <v>4</v>
      </c>
      <c r="F109">
        <v>16</v>
      </c>
      <c r="G109" t="s">
        <v>39</v>
      </c>
      <c r="H109" t="s">
        <v>27</v>
      </c>
      <c r="I109" t="s">
        <v>49</v>
      </c>
      <c r="J109" t="s">
        <v>59</v>
      </c>
      <c r="K109" t="s">
        <v>29</v>
      </c>
      <c r="L109" t="s">
        <v>30</v>
      </c>
      <c r="M109" t="s">
        <v>123</v>
      </c>
      <c r="N109" t="s">
        <v>32</v>
      </c>
      <c r="O109" t="s">
        <v>33</v>
      </c>
      <c r="P109" t="s">
        <v>34</v>
      </c>
      <c r="Q109" t="s">
        <v>45</v>
      </c>
      <c r="R109">
        <v>2</v>
      </c>
      <c r="S109">
        <v>15000</v>
      </c>
      <c r="T109">
        <v>5</v>
      </c>
      <c r="U109">
        <v>30000</v>
      </c>
      <c r="V109">
        <v>24000</v>
      </c>
      <c r="W109">
        <v>6000</v>
      </c>
      <c r="X109" t="s">
        <v>46</v>
      </c>
      <c r="Y109" t="s">
        <v>37</v>
      </c>
    </row>
    <row r="110" spans="1:25" x14ac:dyDescent="0.25">
      <c r="A110">
        <v>109</v>
      </c>
      <c r="B110" t="s">
        <v>229</v>
      </c>
      <c r="C110">
        <v>2026</v>
      </c>
      <c r="D110">
        <v>2</v>
      </c>
      <c r="E110">
        <v>4</v>
      </c>
      <c r="F110">
        <v>16</v>
      </c>
      <c r="G110" t="s">
        <v>48</v>
      </c>
      <c r="H110" t="s">
        <v>49</v>
      </c>
      <c r="I110" t="s">
        <v>27</v>
      </c>
      <c r="J110" t="s">
        <v>59</v>
      </c>
      <c r="K110" t="s">
        <v>75</v>
      </c>
      <c r="L110" t="s">
        <v>43</v>
      </c>
      <c r="M110" t="s">
        <v>190</v>
      </c>
      <c r="N110" t="s">
        <v>44</v>
      </c>
      <c r="O110" t="s">
        <v>61</v>
      </c>
      <c r="P110" t="s">
        <v>34</v>
      </c>
      <c r="Q110" t="s">
        <v>56</v>
      </c>
      <c r="R110">
        <v>10</v>
      </c>
      <c r="S110">
        <v>1500</v>
      </c>
      <c r="T110">
        <v>0</v>
      </c>
      <c r="U110">
        <v>15000</v>
      </c>
      <c r="V110">
        <v>12000</v>
      </c>
      <c r="W110">
        <v>3000</v>
      </c>
      <c r="X110" t="s">
        <v>46</v>
      </c>
      <c r="Y110" t="s">
        <v>37</v>
      </c>
    </row>
    <row r="111" spans="1:25" x14ac:dyDescent="0.25">
      <c r="A111">
        <v>110</v>
      </c>
      <c r="B111" t="s">
        <v>230</v>
      </c>
      <c r="C111">
        <v>2026</v>
      </c>
      <c r="D111">
        <v>2</v>
      </c>
      <c r="E111">
        <v>4</v>
      </c>
      <c r="F111">
        <v>17</v>
      </c>
      <c r="G111" t="s">
        <v>48</v>
      </c>
      <c r="H111" t="s">
        <v>40</v>
      </c>
      <c r="I111" t="s">
        <v>27</v>
      </c>
      <c r="J111" t="s">
        <v>28</v>
      </c>
      <c r="K111" t="s">
        <v>75</v>
      </c>
      <c r="L111" t="s">
        <v>30</v>
      </c>
      <c r="M111" t="s">
        <v>166</v>
      </c>
      <c r="N111" t="s">
        <v>44</v>
      </c>
      <c r="O111" t="s">
        <v>61</v>
      </c>
      <c r="P111" t="s">
        <v>34</v>
      </c>
      <c r="Q111" t="s">
        <v>45</v>
      </c>
      <c r="R111">
        <v>6</v>
      </c>
      <c r="S111">
        <v>1500</v>
      </c>
      <c r="T111">
        <v>5</v>
      </c>
      <c r="U111">
        <v>9000</v>
      </c>
      <c r="V111">
        <v>7200</v>
      </c>
      <c r="W111">
        <v>1800</v>
      </c>
      <c r="X111" t="s">
        <v>46</v>
      </c>
      <c r="Y111" t="s">
        <v>37</v>
      </c>
    </row>
    <row r="112" spans="1:25" x14ac:dyDescent="0.25">
      <c r="A112">
        <v>111</v>
      </c>
      <c r="B112" t="s">
        <v>231</v>
      </c>
      <c r="C112">
        <v>2026</v>
      </c>
      <c r="D112">
        <v>2</v>
      </c>
      <c r="E112">
        <v>4</v>
      </c>
      <c r="F112">
        <v>17</v>
      </c>
      <c r="G112" t="s">
        <v>26</v>
      </c>
      <c r="H112" t="s">
        <v>27</v>
      </c>
      <c r="I112" t="s">
        <v>49</v>
      </c>
      <c r="J112" t="s">
        <v>59</v>
      </c>
      <c r="K112" t="s">
        <v>75</v>
      </c>
      <c r="L112" t="s">
        <v>30</v>
      </c>
      <c r="M112" t="s">
        <v>232</v>
      </c>
      <c r="N112" t="s">
        <v>32</v>
      </c>
      <c r="O112" t="s">
        <v>77</v>
      </c>
      <c r="P112" t="s">
        <v>34</v>
      </c>
      <c r="Q112" t="s">
        <v>64</v>
      </c>
      <c r="R112">
        <v>8</v>
      </c>
      <c r="S112">
        <v>12000</v>
      </c>
      <c r="T112">
        <v>0</v>
      </c>
      <c r="U112">
        <v>96000</v>
      </c>
      <c r="V112">
        <v>76800</v>
      </c>
      <c r="W112">
        <v>19200</v>
      </c>
      <c r="X112" t="s">
        <v>46</v>
      </c>
      <c r="Y112" t="s">
        <v>37</v>
      </c>
    </row>
    <row r="113" spans="1:25" x14ac:dyDescent="0.25">
      <c r="A113">
        <v>112</v>
      </c>
      <c r="B113" t="s">
        <v>233</v>
      </c>
      <c r="C113">
        <v>2026</v>
      </c>
      <c r="D113">
        <v>2</v>
      </c>
      <c r="E113">
        <v>4</v>
      </c>
      <c r="F113">
        <v>17</v>
      </c>
      <c r="G113" t="s">
        <v>39</v>
      </c>
      <c r="H113" t="s">
        <v>49</v>
      </c>
      <c r="I113" t="s">
        <v>66</v>
      </c>
      <c r="J113" t="s">
        <v>28</v>
      </c>
      <c r="K113" t="s">
        <v>29</v>
      </c>
      <c r="L113" t="s">
        <v>30</v>
      </c>
      <c r="M113" t="s">
        <v>171</v>
      </c>
      <c r="N113" t="s">
        <v>44</v>
      </c>
      <c r="O113" t="s">
        <v>52</v>
      </c>
      <c r="P113" t="s">
        <v>34</v>
      </c>
      <c r="Q113" t="s">
        <v>56</v>
      </c>
      <c r="R113">
        <v>5</v>
      </c>
      <c r="S113">
        <v>1800</v>
      </c>
      <c r="T113">
        <v>0</v>
      </c>
      <c r="U113">
        <v>9000</v>
      </c>
      <c r="V113">
        <v>7200</v>
      </c>
      <c r="W113">
        <v>1800</v>
      </c>
      <c r="X113" t="s">
        <v>57</v>
      </c>
      <c r="Y113" t="s">
        <v>37</v>
      </c>
    </row>
    <row r="114" spans="1:25" x14ac:dyDescent="0.25">
      <c r="A114">
        <v>113</v>
      </c>
      <c r="B114" t="s">
        <v>234</v>
      </c>
      <c r="C114">
        <v>2026</v>
      </c>
      <c r="D114">
        <v>2</v>
      </c>
      <c r="E114">
        <v>4</v>
      </c>
      <c r="F114">
        <v>17</v>
      </c>
      <c r="G114" t="s">
        <v>26</v>
      </c>
      <c r="H114" t="s">
        <v>40</v>
      </c>
      <c r="I114" t="s">
        <v>27</v>
      </c>
      <c r="J114" t="s">
        <v>59</v>
      </c>
      <c r="K114" t="s">
        <v>50</v>
      </c>
      <c r="L114" t="s">
        <v>43</v>
      </c>
      <c r="M114" t="s">
        <v>82</v>
      </c>
      <c r="N114" t="s">
        <v>44</v>
      </c>
      <c r="O114" t="s">
        <v>77</v>
      </c>
      <c r="P114" t="s">
        <v>34</v>
      </c>
      <c r="Q114" t="s">
        <v>45</v>
      </c>
      <c r="R114">
        <v>2</v>
      </c>
      <c r="S114">
        <v>12000</v>
      </c>
      <c r="T114">
        <v>5</v>
      </c>
      <c r="U114">
        <v>24000</v>
      </c>
      <c r="V114">
        <v>19200</v>
      </c>
      <c r="W114">
        <v>4800</v>
      </c>
      <c r="X114" t="s">
        <v>46</v>
      </c>
      <c r="Y114" t="s">
        <v>37</v>
      </c>
    </row>
    <row r="115" spans="1:25" x14ac:dyDescent="0.25">
      <c r="A115">
        <v>114</v>
      </c>
      <c r="B115" t="s">
        <v>235</v>
      </c>
      <c r="C115">
        <v>2026</v>
      </c>
      <c r="D115">
        <v>2</v>
      </c>
      <c r="E115">
        <v>4</v>
      </c>
      <c r="F115">
        <v>17</v>
      </c>
      <c r="G115" t="s">
        <v>48</v>
      </c>
      <c r="H115" t="s">
        <v>49</v>
      </c>
      <c r="I115" t="s">
        <v>49</v>
      </c>
      <c r="J115" t="s">
        <v>28</v>
      </c>
      <c r="K115" t="s">
        <v>75</v>
      </c>
      <c r="L115" t="s">
        <v>30</v>
      </c>
      <c r="M115" t="s">
        <v>82</v>
      </c>
      <c r="N115" t="s">
        <v>44</v>
      </c>
      <c r="O115" t="s">
        <v>61</v>
      </c>
      <c r="P115" t="s">
        <v>34</v>
      </c>
      <c r="Q115" t="s">
        <v>35</v>
      </c>
      <c r="R115">
        <v>10</v>
      </c>
      <c r="S115">
        <v>1500</v>
      </c>
      <c r="T115">
        <v>10</v>
      </c>
      <c r="U115">
        <v>15000</v>
      </c>
      <c r="V115">
        <v>12000</v>
      </c>
      <c r="W115">
        <v>3000</v>
      </c>
      <c r="X115" t="s">
        <v>36</v>
      </c>
      <c r="Y115" t="s">
        <v>37</v>
      </c>
    </row>
    <row r="116" spans="1:25" x14ac:dyDescent="0.25">
      <c r="A116">
        <v>115</v>
      </c>
      <c r="B116" t="s">
        <v>236</v>
      </c>
      <c r="C116">
        <v>2026</v>
      </c>
      <c r="D116">
        <v>2</v>
      </c>
      <c r="E116">
        <v>4</v>
      </c>
      <c r="F116">
        <v>17</v>
      </c>
      <c r="G116" t="s">
        <v>39</v>
      </c>
      <c r="H116" t="s">
        <v>40</v>
      </c>
      <c r="I116" t="s">
        <v>49</v>
      </c>
      <c r="J116" t="s">
        <v>41</v>
      </c>
      <c r="K116" t="s">
        <v>29</v>
      </c>
      <c r="L116" t="s">
        <v>43</v>
      </c>
      <c r="M116" t="s">
        <v>127</v>
      </c>
      <c r="N116" t="s">
        <v>44</v>
      </c>
      <c r="O116" t="s">
        <v>61</v>
      </c>
      <c r="P116" t="s">
        <v>34</v>
      </c>
      <c r="Q116" t="s">
        <v>64</v>
      </c>
      <c r="R116">
        <v>5</v>
      </c>
      <c r="S116">
        <v>1500</v>
      </c>
      <c r="T116">
        <v>0</v>
      </c>
      <c r="U116">
        <v>7500</v>
      </c>
      <c r="V116">
        <v>6000</v>
      </c>
      <c r="W116">
        <v>1500</v>
      </c>
      <c r="X116" t="s">
        <v>46</v>
      </c>
      <c r="Y116" t="s">
        <v>37</v>
      </c>
    </row>
    <row r="117" spans="1:25" x14ac:dyDescent="0.25">
      <c r="A117">
        <v>116</v>
      </c>
      <c r="B117" t="s">
        <v>237</v>
      </c>
      <c r="C117">
        <v>2026</v>
      </c>
      <c r="D117">
        <v>2</v>
      </c>
      <c r="E117">
        <v>4</v>
      </c>
      <c r="F117">
        <v>17</v>
      </c>
      <c r="G117" t="s">
        <v>39</v>
      </c>
      <c r="H117" t="s">
        <v>27</v>
      </c>
      <c r="I117" t="s">
        <v>27</v>
      </c>
      <c r="J117" t="s">
        <v>41</v>
      </c>
      <c r="K117" t="s">
        <v>75</v>
      </c>
      <c r="L117" t="s">
        <v>30</v>
      </c>
      <c r="M117" t="s">
        <v>76</v>
      </c>
      <c r="N117" t="s">
        <v>32</v>
      </c>
      <c r="O117" t="s">
        <v>33</v>
      </c>
      <c r="P117" t="s">
        <v>34</v>
      </c>
      <c r="Q117" t="s">
        <v>35</v>
      </c>
      <c r="R117">
        <v>3</v>
      </c>
      <c r="S117">
        <v>15000</v>
      </c>
      <c r="T117">
        <v>10</v>
      </c>
      <c r="U117">
        <v>45000</v>
      </c>
      <c r="V117">
        <v>36000</v>
      </c>
      <c r="W117">
        <v>9000</v>
      </c>
      <c r="X117" t="s">
        <v>46</v>
      </c>
      <c r="Y117" t="s">
        <v>37</v>
      </c>
    </row>
    <row r="118" spans="1:25" x14ac:dyDescent="0.25">
      <c r="A118">
        <v>117</v>
      </c>
      <c r="B118" t="s">
        <v>238</v>
      </c>
      <c r="C118">
        <v>2026</v>
      </c>
      <c r="D118">
        <v>2</v>
      </c>
      <c r="E118">
        <v>4</v>
      </c>
      <c r="F118">
        <v>18</v>
      </c>
      <c r="G118" t="s">
        <v>39</v>
      </c>
      <c r="H118" t="s">
        <v>49</v>
      </c>
      <c r="I118" t="s">
        <v>49</v>
      </c>
      <c r="J118" t="s">
        <v>28</v>
      </c>
      <c r="K118" t="s">
        <v>50</v>
      </c>
      <c r="L118" t="s">
        <v>43</v>
      </c>
      <c r="M118" t="s">
        <v>216</v>
      </c>
      <c r="N118" t="s">
        <v>32</v>
      </c>
      <c r="O118" t="s">
        <v>77</v>
      </c>
      <c r="P118" t="s">
        <v>34</v>
      </c>
      <c r="Q118" t="s">
        <v>35</v>
      </c>
      <c r="R118">
        <v>9</v>
      </c>
      <c r="S118">
        <v>12000</v>
      </c>
      <c r="T118">
        <v>10</v>
      </c>
      <c r="U118">
        <v>108000</v>
      </c>
      <c r="V118">
        <v>86400</v>
      </c>
      <c r="W118">
        <v>21600</v>
      </c>
      <c r="X118" t="s">
        <v>57</v>
      </c>
      <c r="Y118" t="s">
        <v>37</v>
      </c>
    </row>
    <row r="119" spans="1:25" x14ac:dyDescent="0.25">
      <c r="A119">
        <v>118</v>
      </c>
      <c r="B119" t="s">
        <v>239</v>
      </c>
      <c r="C119">
        <v>2026</v>
      </c>
      <c r="D119">
        <v>2</v>
      </c>
      <c r="E119">
        <v>4</v>
      </c>
      <c r="F119">
        <v>18</v>
      </c>
      <c r="G119" t="s">
        <v>26</v>
      </c>
      <c r="H119" t="s">
        <v>49</v>
      </c>
      <c r="I119" t="s">
        <v>66</v>
      </c>
      <c r="J119" t="s">
        <v>28</v>
      </c>
      <c r="K119" t="s">
        <v>29</v>
      </c>
      <c r="L119" t="s">
        <v>30</v>
      </c>
      <c r="M119" t="s">
        <v>169</v>
      </c>
      <c r="N119" t="s">
        <v>32</v>
      </c>
      <c r="O119" t="s">
        <v>77</v>
      </c>
      <c r="P119" t="s">
        <v>34</v>
      </c>
      <c r="Q119" t="s">
        <v>45</v>
      </c>
      <c r="R119">
        <v>8</v>
      </c>
      <c r="S119">
        <v>12000</v>
      </c>
      <c r="T119">
        <v>5</v>
      </c>
      <c r="U119">
        <v>96000</v>
      </c>
      <c r="V119">
        <v>76800</v>
      </c>
      <c r="W119">
        <v>19200</v>
      </c>
      <c r="X119" t="s">
        <v>57</v>
      </c>
      <c r="Y119" t="s">
        <v>37</v>
      </c>
    </row>
    <row r="120" spans="1:25" x14ac:dyDescent="0.25">
      <c r="A120">
        <v>119</v>
      </c>
      <c r="B120" t="s">
        <v>240</v>
      </c>
      <c r="C120">
        <v>2026</v>
      </c>
      <c r="D120">
        <v>2</v>
      </c>
      <c r="E120">
        <v>4</v>
      </c>
      <c r="F120">
        <v>18</v>
      </c>
      <c r="G120" t="s">
        <v>48</v>
      </c>
      <c r="H120" t="s">
        <v>49</v>
      </c>
      <c r="I120" t="s">
        <v>27</v>
      </c>
      <c r="J120" t="s">
        <v>59</v>
      </c>
      <c r="K120" t="s">
        <v>42</v>
      </c>
      <c r="L120" t="s">
        <v>43</v>
      </c>
      <c r="M120" t="s">
        <v>153</v>
      </c>
      <c r="N120" t="s">
        <v>44</v>
      </c>
      <c r="O120" t="s">
        <v>61</v>
      </c>
      <c r="P120" t="s">
        <v>34</v>
      </c>
      <c r="Q120" t="s">
        <v>56</v>
      </c>
      <c r="R120">
        <v>9</v>
      </c>
      <c r="S120">
        <v>1500</v>
      </c>
      <c r="T120">
        <v>5</v>
      </c>
      <c r="U120">
        <v>13500</v>
      </c>
      <c r="V120">
        <v>10800</v>
      </c>
      <c r="W120">
        <v>2700</v>
      </c>
      <c r="X120" t="s">
        <v>57</v>
      </c>
      <c r="Y120" t="s">
        <v>37</v>
      </c>
    </row>
    <row r="121" spans="1:25" x14ac:dyDescent="0.25">
      <c r="A121">
        <v>120</v>
      </c>
      <c r="B121" t="s">
        <v>241</v>
      </c>
      <c r="C121">
        <v>2026</v>
      </c>
      <c r="D121">
        <v>2</v>
      </c>
      <c r="E121">
        <v>4</v>
      </c>
      <c r="F121">
        <v>18</v>
      </c>
      <c r="G121" t="s">
        <v>48</v>
      </c>
      <c r="H121" t="s">
        <v>49</v>
      </c>
      <c r="I121" t="s">
        <v>66</v>
      </c>
      <c r="J121" t="s">
        <v>41</v>
      </c>
      <c r="K121" t="s">
        <v>29</v>
      </c>
      <c r="L121" t="s">
        <v>43</v>
      </c>
      <c r="M121" t="s">
        <v>185</v>
      </c>
      <c r="N121" t="s">
        <v>44</v>
      </c>
      <c r="O121" t="s">
        <v>55</v>
      </c>
      <c r="P121" t="s">
        <v>34</v>
      </c>
      <c r="Q121" t="s">
        <v>35</v>
      </c>
      <c r="R121">
        <v>7</v>
      </c>
      <c r="S121">
        <v>60000</v>
      </c>
      <c r="T121">
        <v>10</v>
      </c>
      <c r="U121">
        <v>420000</v>
      </c>
      <c r="V121">
        <v>336000</v>
      </c>
      <c r="W121">
        <v>84000</v>
      </c>
      <c r="X121" t="s">
        <v>36</v>
      </c>
      <c r="Y121" t="s">
        <v>37</v>
      </c>
    </row>
    <row r="122" spans="1:25" x14ac:dyDescent="0.25">
      <c r="A122">
        <v>121</v>
      </c>
      <c r="B122" t="s">
        <v>242</v>
      </c>
      <c r="C122">
        <v>2026</v>
      </c>
      <c r="D122">
        <v>2</v>
      </c>
      <c r="E122">
        <v>5</v>
      </c>
      <c r="F122">
        <v>18</v>
      </c>
      <c r="G122" t="s">
        <v>39</v>
      </c>
      <c r="H122" t="s">
        <v>40</v>
      </c>
      <c r="I122" t="s">
        <v>66</v>
      </c>
      <c r="J122" t="s">
        <v>28</v>
      </c>
      <c r="K122" t="s">
        <v>29</v>
      </c>
      <c r="L122" t="s">
        <v>43</v>
      </c>
      <c r="M122" t="s">
        <v>232</v>
      </c>
      <c r="N122" t="s">
        <v>32</v>
      </c>
      <c r="O122" t="s">
        <v>55</v>
      </c>
      <c r="P122" t="s">
        <v>34</v>
      </c>
      <c r="Q122" t="s">
        <v>45</v>
      </c>
      <c r="R122">
        <v>10</v>
      </c>
      <c r="S122">
        <v>60000</v>
      </c>
      <c r="T122">
        <v>10</v>
      </c>
      <c r="U122">
        <v>600000</v>
      </c>
      <c r="V122">
        <v>480000</v>
      </c>
      <c r="W122">
        <v>120000</v>
      </c>
      <c r="X122" t="s">
        <v>57</v>
      </c>
      <c r="Y122" t="s">
        <v>37</v>
      </c>
    </row>
    <row r="123" spans="1:25" x14ac:dyDescent="0.25">
      <c r="A123">
        <v>122</v>
      </c>
      <c r="B123" t="s">
        <v>243</v>
      </c>
      <c r="C123">
        <v>2026</v>
      </c>
      <c r="D123">
        <v>2</v>
      </c>
      <c r="E123">
        <v>5</v>
      </c>
      <c r="F123">
        <v>18</v>
      </c>
      <c r="G123" t="s">
        <v>39</v>
      </c>
      <c r="H123" t="s">
        <v>40</v>
      </c>
      <c r="I123" t="s">
        <v>66</v>
      </c>
      <c r="J123" t="s">
        <v>41</v>
      </c>
      <c r="K123" t="s">
        <v>29</v>
      </c>
      <c r="L123" t="s">
        <v>43</v>
      </c>
      <c r="M123" t="s">
        <v>181</v>
      </c>
      <c r="N123" t="s">
        <v>32</v>
      </c>
      <c r="O123" t="s">
        <v>33</v>
      </c>
      <c r="P123" t="s">
        <v>34</v>
      </c>
      <c r="Q123" t="s">
        <v>56</v>
      </c>
      <c r="R123">
        <v>4</v>
      </c>
      <c r="S123">
        <v>15000</v>
      </c>
      <c r="T123">
        <v>5</v>
      </c>
      <c r="U123">
        <v>60000</v>
      </c>
      <c r="V123">
        <v>48000</v>
      </c>
      <c r="W123">
        <v>12000</v>
      </c>
      <c r="X123" t="s">
        <v>57</v>
      </c>
      <c r="Y123" t="s">
        <v>37</v>
      </c>
    </row>
    <row r="124" spans="1:25" x14ac:dyDescent="0.25">
      <c r="A124">
        <v>123</v>
      </c>
      <c r="B124" t="s">
        <v>244</v>
      </c>
      <c r="C124">
        <v>2026</v>
      </c>
      <c r="D124">
        <v>2</v>
      </c>
      <c r="E124">
        <v>5</v>
      </c>
      <c r="F124">
        <v>18</v>
      </c>
      <c r="G124" t="s">
        <v>48</v>
      </c>
      <c r="H124" t="s">
        <v>27</v>
      </c>
      <c r="I124" t="s">
        <v>49</v>
      </c>
      <c r="J124" t="s">
        <v>59</v>
      </c>
      <c r="K124" t="s">
        <v>75</v>
      </c>
      <c r="L124" t="s">
        <v>43</v>
      </c>
      <c r="M124" t="s">
        <v>177</v>
      </c>
      <c r="N124" t="s">
        <v>32</v>
      </c>
      <c r="O124" t="s">
        <v>52</v>
      </c>
      <c r="P124" t="s">
        <v>34</v>
      </c>
      <c r="Q124" t="s">
        <v>35</v>
      </c>
      <c r="R124">
        <v>2</v>
      </c>
      <c r="S124">
        <v>1800</v>
      </c>
      <c r="T124">
        <v>5</v>
      </c>
      <c r="U124">
        <v>3600</v>
      </c>
      <c r="V124">
        <v>2880</v>
      </c>
      <c r="W124">
        <v>720</v>
      </c>
      <c r="X124" t="s">
        <v>46</v>
      </c>
      <c r="Y124" t="s">
        <v>37</v>
      </c>
    </row>
    <row r="125" spans="1:25" x14ac:dyDescent="0.25">
      <c r="A125">
        <v>124</v>
      </c>
      <c r="B125" t="s">
        <v>245</v>
      </c>
      <c r="C125">
        <v>2026</v>
      </c>
      <c r="D125">
        <v>2</v>
      </c>
      <c r="E125">
        <v>5</v>
      </c>
      <c r="F125">
        <v>19</v>
      </c>
      <c r="G125" t="s">
        <v>39</v>
      </c>
      <c r="H125" t="s">
        <v>40</v>
      </c>
      <c r="I125" t="s">
        <v>49</v>
      </c>
      <c r="J125" t="s">
        <v>41</v>
      </c>
      <c r="K125" t="s">
        <v>29</v>
      </c>
      <c r="L125" t="s">
        <v>43</v>
      </c>
      <c r="M125" t="s">
        <v>246</v>
      </c>
      <c r="N125" t="s">
        <v>32</v>
      </c>
      <c r="O125" t="s">
        <v>77</v>
      </c>
      <c r="P125" t="s">
        <v>34</v>
      </c>
      <c r="Q125" t="s">
        <v>64</v>
      </c>
      <c r="R125">
        <v>5</v>
      </c>
      <c r="S125">
        <v>12000</v>
      </c>
      <c r="T125">
        <v>0</v>
      </c>
      <c r="U125">
        <v>60000</v>
      </c>
      <c r="V125">
        <v>48000</v>
      </c>
      <c r="W125">
        <v>12000</v>
      </c>
      <c r="X125" t="s">
        <v>46</v>
      </c>
      <c r="Y125" t="s">
        <v>37</v>
      </c>
    </row>
    <row r="126" spans="1:25" x14ac:dyDescent="0.25">
      <c r="A126">
        <v>125</v>
      </c>
      <c r="B126" t="s">
        <v>247</v>
      </c>
      <c r="C126">
        <v>2026</v>
      </c>
      <c r="D126">
        <v>2</v>
      </c>
      <c r="E126">
        <v>5</v>
      </c>
      <c r="F126">
        <v>19</v>
      </c>
      <c r="G126" t="s">
        <v>39</v>
      </c>
      <c r="H126" t="s">
        <v>40</v>
      </c>
      <c r="I126" t="s">
        <v>49</v>
      </c>
      <c r="J126" t="s">
        <v>41</v>
      </c>
      <c r="K126" t="s">
        <v>50</v>
      </c>
      <c r="L126" t="s">
        <v>30</v>
      </c>
      <c r="M126" t="s">
        <v>138</v>
      </c>
      <c r="N126" t="s">
        <v>44</v>
      </c>
      <c r="O126" t="s">
        <v>55</v>
      </c>
      <c r="P126" t="s">
        <v>34</v>
      </c>
      <c r="Q126" t="s">
        <v>56</v>
      </c>
      <c r="R126">
        <v>8</v>
      </c>
      <c r="S126">
        <v>60000</v>
      </c>
      <c r="T126">
        <v>0</v>
      </c>
      <c r="U126">
        <v>480000</v>
      </c>
      <c r="V126">
        <v>384000</v>
      </c>
      <c r="W126">
        <v>96000</v>
      </c>
      <c r="X126" t="s">
        <v>57</v>
      </c>
      <c r="Y126" t="s">
        <v>37</v>
      </c>
    </row>
    <row r="127" spans="1:25" x14ac:dyDescent="0.25">
      <c r="A127">
        <v>126</v>
      </c>
      <c r="B127" t="s">
        <v>248</v>
      </c>
      <c r="C127">
        <v>2026</v>
      </c>
      <c r="D127">
        <v>2</v>
      </c>
      <c r="E127">
        <v>5</v>
      </c>
      <c r="F127">
        <v>19</v>
      </c>
      <c r="G127" t="s">
        <v>39</v>
      </c>
      <c r="H127" t="s">
        <v>40</v>
      </c>
      <c r="I127" t="s">
        <v>27</v>
      </c>
      <c r="J127" t="s">
        <v>41</v>
      </c>
      <c r="K127" t="s">
        <v>75</v>
      </c>
      <c r="L127" t="s">
        <v>30</v>
      </c>
      <c r="M127" t="s">
        <v>249</v>
      </c>
      <c r="N127" t="s">
        <v>32</v>
      </c>
      <c r="O127" t="s">
        <v>77</v>
      </c>
      <c r="P127" t="s">
        <v>34</v>
      </c>
      <c r="Q127" t="s">
        <v>64</v>
      </c>
      <c r="R127">
        <v>9</v>
      </c>
      <c r="S127">
        <v>12000</v>
      </c>
      <c r="T127">
        <v>0</v>
      </c>
      <c r="U127">
        <v>108000</v>
      </c>
      <c r="V127">
        <v>86400</v>
      </c>
      <c r="W127">
        <v>21600</v>
      </c>
      <c r="X127" t="s">
        <v>57</v>
      </c>
      <c r="Y127" t="s">
        <v>37</v>
      </c>
    </row>
    <row r="128" spans="1:25" x14ac:dyDescent="0.25">
      <c r="A128">
        <v>127</v>
      </c>
      <c r="B128" t="s">
        <v>250</v>
      </c>
      <c r="C128">
        <v>2026</v>
      </c>
      <c r="D128">
        <v>2</v>
      </c>
      <c r="E128">
        <v>5</v>
      </c>
      <c r="F128">
        <v>19</v>
      </c>
      <c r="G128" t="s">
        <v>26</v>
      </c>
      <c r="H128" t="s">
        <v>27</v>
      </c>
      <c r="I128" t="s">
        <v>49</v>
      </c>
      <c r="J128" t="s">
        <v>41</v>
      </c>
      <c r="K128" t="s">
        <v>75</v>
      </c>
      <c r="L128" t="s">
        <v>30</v>
      </c>
      <c r="M128" t="s">
        <v>185</v>
      </c>
      <c r="N128" t="s">
        <v>32</v>
      </c>
      <c r="O128" t="s">
        <v>52</v>
      </c>
      <c r="P128" t="s">
        <v>34</v>
      </c>
      <c r="Q128" t="s">
        <v>35</v>
      </c>
      <c r="R128">
        <v>5</v>
      </c>
      <c r="S128">
        <v>1800</v>
      </c>
      <c r="T128">
        <v>10</v>
      </c>
      <c r="U128">
        <v>9000</v>
      </c>
      <c r="V128">
        <v>7200</v>
      </c>
      <c r="W128">
        <v>1800</v>
      </c>
      <c r="X128" t="s">
        <v>46</v>
      </c>
      <c r="Y128" t="s">
        <v>37</v>
      </c>
    </row>
    <row r="129" spans="1:25" x14ac:dyDescent="0.25">
      <c r="A129">
        <v>128</v>
      </c>
      <c r="B129" t="s">
        <v>251</v>
      </c>
      <c r="C129">
        <v>2026</v>
      </c>
      <c r="D129">
        <v>2</v>
      </c>
      <c r="E129">
        <v>5</v>
      </c>
      <c r="F129">
        <v>19</v>
      </c>
      <c r="G129" t="s">
        <v>26</v>
      </c>
      <c r="H129" t="s">
        <v>49</v>
      </c>
      <c r="I129" t="s">
        <v>66</v>
      </c>
      <c r="J129" t="s">
        <v>59</v>
      </c>
      <c r="K129" t="s">
        <v>29</v>
      </c>
      <c r="L129" t="s">
        <v>30</v>
      </c>
      <c r="M129" t="s">
        <v>69</v>
      </c>
      <c r="N129" t="s">
        <v>44</v>
      </c>
      <c r="O129" t="s">
        <v>77</v>
      </c>
      <c r="P129" t="s">
        <v>34</v>
      </c>
      <c r="Q129" t="s">
        <v>45</v>
      </c>
      <c r="R129">
        <v>9</v>
      </c>
      <c r="S129">
        <v>12000</v>
      </c>
      <c r="T129">
        <v>0</v>
      </c>
      <c r="U129">
        <v>108000</v>
      </c>
      <c r="V129">
        <v>86400</v>
      </c>
      <c r="W129">
        <v>21600</v>
      </c>
      <c r="X129" t="s">
        <v>57</v>
      </c>
      <c r="Y129" t="s">
        <v>37</v>
      </c>
    </row>
    <row r="130" spans="1:25" x14ac:dyDescent="0.25">
      <c r="A130">
        <v>129</v>
      </c>
      <c r="B130" t="s">
        <v>252</v>
      </c>
      <c r="C130">
        <v>2026</v>
      </c>
      <c r="D130">
        <v>2</v>
      </c>
      <c r="E130">
        <v>5</v>
      </c>
      <c r="F130">
        <v>19</v>
      </c>
      <c r="G130" t="s">
        <v>26</v>
      </c>
      <c r="H130" t="s">
        <v>27</v>
      </c>
      <c r="I130" t="s">
        <v>27</v>
      </c>
      <c r="J130" t="s">
        <v>41</v>
      </c>
      <c r="K130" t="s">
        <v>42</v>
      </c>
      <c r="L130" t="s">
        <v>43</v>
      </c>
      <c r="M130" t="s">
        <v>125</v>
      </c>
      <c r="N130" t="s">
        <v>32</v>
      </c>
      <c r="O130" t="s">
        <v>55</v>
      </c>
      <c r="P130" t="s">
        <v>34</v>
      </c>
      <c r="Q130" t="s">
        <v>35</v>
      </c>
      <c r="R130">
        <v>2</v>
      </c>
      <c r="S130">
        <v>60000</v>
      </c>
      <c r="T130">
        <v>0</v>
      </c>
      <c r="U130">
        <v>120000</v>
      </c>
      <c r="V130">
        <v>96000</v>
      </c>
      <c r="W130">
        <v>24000</v>
      </c>
      <c r="X130" t="s">
        <v>57</v>
      </c>
      <c r="Y130" t="s">
        <v>37</v>
      </c>
    </row>
    <row r="131" spans="1:25" x14ac:dyDescent="0.25">
      <c r="A131">
        <v>130</v>
      </c>
      <c r="B131" t="s">
        <v>253</v>
      </c>
      <c r="C131">
        <v>2026</v>
      </c>
      <c r="D131">
        <v>2</v>
      </c>
      <c r="E131">
        <v>5</v>
      </c>
      <c r="F131">
        <v>19</v>
      </c>
      <c r="G131" t="s">
        <v>39</v>
      </c>
      <c r="H131" t="s">
        <v>40</v>
      </c>
      <c r="I131" t="s">
        <v>66</v>
      </c>
      <c r="J131" t="s">
        <v>28</v>
      </c>
      <c r="K131" t="s">
        <v>29</v>
      </c>
      <c r="L131" t="s">
        <v>30</v>
      </c>
      <c r="M131" t="s">
        <v>123</v>
      </c>
      <c r="N131" t="s">
        <v>32</v>
      </c>
      <c r="O131" t="s">
        <v>52</v>
      </c>
      <c r="P131" t="s">
        <v>34</v>
      </c>
      <c r="Q131" t="s">
        <v>45</v>
      </c>
      <c r="R131">
        <v>3</v>
      </c>
      <c r="S131">
        <v>1800</v>
      </c>
      <c r="T131">
        <v>10</v>
      </c>
      <c r="U131">
        <v>5400</v>
      </c>
      <c r="V131">
        <v>4320</v>
      </c>
      <c r="W131">
        <v>1080</v>
      </c>
      <c r="X131" t="s">
        <v>57</v>
      </c>
      <c r="Y131" t="s">
        <v>37</v>
      </c>
    </row>
    <row r="132" spans="1:25" x14ac:dyDescent="0.25">
      <c r="A132">
        <v>131</v>
      </c>
      <c r="B132" t="s">
        <v>254</v>
      </c>
      <c r="C132">
        <v>2026</v>
      </c>
      <c r="D132">
        <v>2</v>
      </c>
      <c r="E132">
        <v>5</v>
      </c>
      <c r="F132">
        <v>20</v>
      </c>
      <c r="G132" t="s">
        <v>26</v>
      </c>
      <c r="H132" t="s">
        <v>49</v>
      </c>
      <c r="I132" t="s">
        <v>27</v>
      </c>
      <c r="J132" t="s">
        <v>59</v>
      </c>
      <c r="K132" t="s">
        <v>50</v>
      </c>
      <c r="L132" t="s">
        <v>30</v>
      </c>
      <c r="M132" t="s">
        <v>204</v>
      </c>
      <c r="N132" t="s">
        <v>32</v>
      </c>
      <c r="O132" t="s">
        <v>55</v>
      </c>
      <c r="P132" t="s">
        <v>34</v>
      </c>
      <c r="Q132" t="s">
        <v>56</v>
      </c>
      <c r="R132">
        <v>6</v>
      </c>
      <c r="S132">
        <v>60000</v>
      </c>
      <c r="T132">
        <v>0</v>
      </c>
      <c r="U132">
        <v>360000</v>
      </c>
      <c r="V132">
        <v>288000</v>
      </c>
      <c r="W132">
        <v>72000</v>
      </c>
      <c r="X132" t="s">
        <v>36</v>
      </c>
      <c r="Y132" t="s">
        <v>37</v>
      </c>
    </row>
    <row r="133" spans="1:25" x14ac:dyDescent="0.25">
      <c r="A133">
        <v>132</v>
      </c>
      <c r="B133" t="s">
        <v>255</v>
      </c>
      <c r="C133">
        <v>2026</v>
      </c>
      <c r="D133">
        <v>2</v>
      </c>
      <c r="E133">
        <v>5</v>
      </c>
      <c r="F133">
        <v>20</v>
      </c>
      <c r="G133" t="s">
        <v>26</v>
      </c>
      <c r="H133" t="s">
        <v>40</v>
      </c>
      <c r="I133" t="s">
        <v>66</v>
      </c>
      <c r="J133" t="s">
        <v>41</v>
      </c>
      <c r="K133" t="s">
        <v>50</v>
      </c>
      <c r="L133" t="s">
        <v>43</v>
      </c>
      <c r="M133" t="s">
        <v>227</v>
      </c>
      <c r="N133" t="s">
        <v>32</v>
      </c>
      <c r="O133" t="s">
        <v>77</v>
      </c>
      <c r="P133" t="s">
        <v>34</v>
      </c>
      <c r="Q133" t="s">
        <v>35</v>
      </c>
      <c r="R133">
        <v>8</v>
      </c>
      <c r="S133">
        <v>12000</v>
      </c>
      <c r="T133">
        <v>5</v>
      </c>
      <c r="U133">
        <v>96000</v>
      </c>
      <c r="V133">
        <v>76800</v>
      </c>
      <c r="W133">
        <v>19200</v>
      </c>
      <c r="X133" t="s">
        <v>46</v>
      </c>
      <c r="Y133" t="s">
        <v>37</v>
      </c>
    </row>
    <row r="134" spans="1:25" x14ac:dyDescent="0.25">
      <c r="A134">
        <v>133</v>
      </c>
      <c r="B134" t="s">
        <v>256</v>
      </c>
      <c r="C134">
        <v>2026</v>
      </c>
      <c r="D134">
        <v>2</v>
      </c>
      <c r="E134">
        <v>5</v>
      </c>
      <c r="F134">
        <v>20</v>
      </c>
      <c r="G134" t="s">
        <v>39</v>
      </c>
      <c r="H134" t="s">
        <v>27</v>
      </c>
      <c r="I134" t="s">
        <v>66</v>
      </c>
      <c r="J134" t="s">
        <v>41</v>
      </c>
      <c r="K134" t="s">
        <v>75</v>
      </c>
      <c r="L134" t="s">
        <v>43</v>
      </c>
      <c r="M134" t="s">
        <v>192</v>
      </c>
      <c r="N134" t="s">
        <v>32</v>
      </c>
      <c r="O134" t="s">
        <v>33</v>
      </c>
      <c r="P134" t="s">
        <v>34</v>
      </c>
      <c r="Q134" t="s">
        <v>64</v>
      </c>
      <c r="R134">
        <v>9</v>
      </c>
      <c r="S134">
        <v>15000</v>
      </c>
      <c r="T134">
        <v>5</v>
      </c>
      <c r="U134">
        <v>135000</v>
      </c>
      <c r="V134">
        <v>108000</v>
      </c>
      <c r="W134">
        <v>27000</v>
      </c>
      <c r="X134" t="s">
        <v>46</v>
      </c>
      <c r="Y134" t="s">
        <v>37</v>
      </c>
    </row>
    <row r="135" spans="1:25" x14ac:dyDescent="0.25">
      <c r="A135">
        <v>134</v>
      </c>
      <c r="B135" t="s">
        <v>257</v>
      </c>
      <c r="C135">
        <v>2026</v>
      </c>
      <c r="D135">
        <v>2</v>
      </c>
      <c r="E135">
        <v>5</v>
      </c>
      <c r="F135">
        <v>20</v>
      </c>
      <c r="G135" t="s">
        <v>48</v>
      </c>
      <c r="H135" t="s">
        <v>27</v>
      </c>
      <c r="I135" t="s">
        <v>49</v>
      </c>
      <c r="J135" t="s">
        <v>28</v>
      </c>
      <c r="K135" t="s">
        <v>75</v>
      </c>
      <c r="L135" t="s">
        <v>43</v>
      </c>
      <c r="M135" t="s">
        <v>87</v>
      </c>
      <c r="N135" t="s">
        <v>44</v>
      </c>
      <c r="O135" t="s">
        <v>52</v>
      </c>
      <c r="P135" t="s">
        <v>34</v>
      </c>
      <c r="Q135" t="s">
        <v>45</v>
      </c>
      <c r="R135">
        <v>10</v>
      </c>
      <c r="S135">
        <v>1800</v>
      </c>
      <c r="T135">
        <v>0</v>
      </c>
      <c r="U135">
        <v>18000</v>
      </c>
      <c r="V135">
        <v>14400</v>
      </c>
      <c r="W135">
        <v>3600</v>
      </c>
      <c r="X135" t="s">
        <v>36</v>
      </c>
      <c r="Y135" t="s">
        <v>37</v>
      </c>
    </row>
    <row r="136" spans="1:25" x14ac:dyDescent="0.25">
      <c r="A136">
        <v>135</v>
      </c>
      <c r="B136" t="s">
        <v>258</v>
      </c>
      <c r="C136">
        <v>2026</v>
      </c>
      <c r="D136">
        <v>2</v>
      </c>
      <c r="E136">
        <v>5</v>
      </c>
      <c r="F136">
        <v>20</v>
      </c>
      <c r="G136" t="s">
        <v>48</v>
      </c>
      <c r="H136" t="s">
        <v>49</v>
      </c>
      <c r="I136" t="s">
        <v>49</v>
      </c>
      <c r="J136" t="s">
        <v>59</v>
      </c>
      <c r="K136" t="s">
        <v>50</v>
      </c>
      <c r="L136" t="s">
        <v>30</v>
      </c>
      <c r="M136" t="s">
        <v>141</v>
      </c>
      <c r="N136" t="s">
        <v>32</v>
      </c>
      <c r="O136" t="s">
        <v>55</v>
      </c>
      <c r="P136" t="s">
        <v>34</v>
      </c>
      <c r="Q136" t="s">
        <v>45</v>
      </c>
      <c r="R136">
        <v>1</v>
      </c>
      <c r="S136">
        <v>60000</v>
      </c>
      <c r="T136">
        <v>5</v>
      </c>
      <c r="U136">
        <v>60000</v>
      </c>
      <c r="V136">
        <v>48000</v>
      </c>
      <c r="W136">
        <v>12000</v>
      </c>
      <c r="X136" t="s">
        <v>46</v>
      </c>
      <c r="Y136" t="s">
        <v>37</v>
      </c>
    </row>
    <row r="137" spans="1:25" x14ac:dyDescent="0.25">
      <c r="A137">
        <v>136</v>
      </c>
      <c r="B137" t="s">
        <v>259</v>
      </c>
      <c r="C137">
        <v>2026</v>
      </c>
      <c r="D137">
        <v>2</v>
      </c>
      <c r="E137">
        <v>5</v>
      </c>
      <c r="F137">
        <v>20</v>
      </c>
      <c r="G137" t="s">
        <v>39</v>
      </c>
      <c r="H137" t="s">
        <v>27</v>
      </c>
      <c r="I137" t="s">
        <v>27</v>
      </c>
      <c r="J137" t="s">
        <v>28</v>
      </c>
      <c r="K137" t="s">
        <v>75</v>
      </c>
      <c r="L137" t="s">
        <v>30</v>
      </c>
      <c r="M137" t="s">
        <v>198</v>
      </c>
      <c r="N137" t="s">
        <v>44</v>
      </c>
      <c r="O137" t="s">
        <v>61</v>
      </c>
      <c r="P137" t="s">
        <v>34</v>
      </c>
      <c r="Q137" t="s">
        <v>45</v>
      </c>
      <c r="R137">
        <v>9</v>
      </c>
      <c r="S137">
        <v>1500</v>
      </c>
      <c r="T137">
        <v>10</v>
      </c>
      <c r="U137">
        <v>13500</v>
      </c>
      <c r="V137">
        <v>10800</v>
      </c>
      <c r="W137">
        <v>2700</v>
      </c>
      <c r="X137" t="s">
        <v>57</v>
      </c>
      <c r="Y137" t="s">
        <v>37</v>
      </c>
    </row>
    <row r="138" spans="1:25" x14ac:dyDescent="0.25">
      <c r="A138">
        <v>137</v>
      </c>
      <c r="B138" t="s">
        <v>260</v>
      </c>
      <c r="C138">
        <v>2026</v>
      </c>
      <c r="D138">
        <v>2</v>
      </c>
      <c r="E138">
        <v>5</v>
      </c>
      <c r="F138">
        <v>20</v>
      </c>
      <c r="G138" t="s">
        <v>26</v>
      </c>
      <c r="H138" t="s">
        <v>49</v>
      </c>
      <c r="I138" t="s">
        <v>27</v>
      </c>
      <c r="J138" t="s">
        <v>28</v>
      </c>
      <c r="K138" t="s">
        <v>29</v>
      </c>
      <c r="L138" t="s">
        <v>43</v>
      </c>
      <c r="M138" t="s">
        <v>141</v>
      </c>
      <c r="N138" t="s">
        <v>32</v>
      </c>
      <c r="O138" t="s">
        <v>33</v>
      </c>
      <c r="P138" t="s">
        <v>34</v>
      </c>
      <c r="Q138" t="s">
        <v>35</v>
      </c>
      <c r="R138">
        <v>5</v>
      </c>
      <c r="S138">
        <v>15000</v>
      </c>
      <c r="T138">
        <v>0</v>
      </c>
      <c r="U138">
        <v>75000</v>
      </c>
      <c r="V138">
        <v>60000</v>
      </c>
      <c r="W138">
        <v>15000</v>
      </c>
      <c r="X138" t="s">
        <v>46</v>
      </c>
      <c r="Y138" t="s">
        <v>37</v>
      </c>
    </row>
    <row r="139" spans="1:25" x14ac:dyDescent="0.25">
      <c r="A139">
        <v>138</v>
      </c>
      <c r="B139" t="s">
        <v>261</v>
      </c>
      <c r="C139">
        <v>2026</v>
      </c>
      <c r="D139">
        <v>2</v>
      </c>
      <c r="E139">
        <v>5</v>
      </c>
      <c r="F139">
        <v>21</v>
      </c>
      <c r="G139" t="s">
        <v>39</v>
      </c>
      <c r="H139" t="s">
        <v>40</v>
      </c>
      <c r="I139" t="s">
        <v>27</v>
      </c>
      <c r="J139" t="s">
        <v>41</v>
      </c>
      <c r="K139" t="s">
        <v>75</v>
      </c>
      <c r="L139" t="s">
        <v>30</v>
      </c>
      <c r="M139" t="s">
        <v>216</v>
      </c>
      <c r="N139" t="s">
        <v>44</v>
      </c>
      <c r="O139" t="s">
        <v>33</v>
      </c>
      <c r="P139" t="s">
        <v>34</v>
      </c>
      <c r="Q139" t="s">
        <v>35</v>
      </c>
      <c r="R139">
        <v>7</v>
      </c>
      <c r="S139">
        <v>15000</v>
      </c>
      <c r="T139">
        <v>5</v>
      </c>
      <c r="U139">
        <v>105000</v>
      </c>
      <c r="V139">
        <v>84000</v>
      </c>
      <c r="W139">
        <v>21000</v>
      </c>
      <c r="X139" t="s">
        <v>57</v>
      </c>
      <c r="Y139" t="s">
        <v>37</v>
      </c>
    </row>
    <row r="140" spans="1:25" x14ac:dyDescent="0.25">
      <c r="A140">
        <v>139</v>
      </c>
      <c r="B140" t="s">
        <v>262</v>
      </c>
      <c r="C140">
        <v>2026</v>
      </c>
      <c r="D140">
        <v>2</v>
      </c>
      <c r="E140">
        <v>5</v>
      </c>
      <c r="F140">
        <v>21</v>
      </c>
      <c r="G140" t="s">
        <v>26</v>
      </c>
      <c r="H140" t="s">
        <v>40</v>
      </c>
      <c r="I140" t="s">
        <v>49</v>
      </c>
      <c r="J140" t="s">
        <v>28</v>
      </c>
      <c r="K140" t="s">
        <v>29</v>
      </c>
      <c r="L140" t="s">
        <v>43</v>
      </c>
      <c r="M140" t="s">
        <v>119</v>
      </c>
      <c r="N140" t="s">
        <v>32</v>
      </c>
      <c r="O140" t="s">
        <v>52</v>
      </c>
      <c r="P140" t="s">
        <v>34</v>
      </c>
      <c r="Q140" t="s">
        <v>56</v>
      </c>
      <c r="R140">
        <v>2</v>
      </c>
      <c r="S140">
        <v>1800</v>
      </c>
      <c r="T140">
        <v>5</v>
      </c>
      <c r="U140">
        <v>3600</v>
      </c>
      <c r="V140">
        <v>2880</v>
      </c>
      <c r="W140">
        <v>720</v>
      </c>
      <c r="X140" t="s">
        <v>57</v>
      </c>
      <c r="Y140" t="s">
        <v>37</v>
      </c>
    </row>
    <row r="141" spans="1:25" x14ac:dyDescent="0.25">
      <c r="A141">
        <v>140</v>
      </c>
      <c r="B141" t="s">
        <v>263</v>
      </c>
      <c r="C141">
        <v>2026</v>
      </c>
      <c r="D141">
        <v>2</v>
      </c>
      <c r="E141">
        <v>5</v>
      </c>
      <c r="F141">
        <v>21</v>
      </c>
      <c r="G141" t="s">
        <v>39</v>
      </c>
      <c r="H141" t="s">
        <v>49</v>
      </c>
      <c r="I141" t="s">
        <v>66</v>
      </c>
      <c r="J141" t="s">
        <v>28</v>
      </c>
      <c r="K141" t="s">
        <v>50</v>
      </c>
      <c r="L141" t="s">
        <v>30</v>
      </c>
      <c r="M141" t="s">
        <v>246</v>
      </c>
      <c r="N141" t="s">
        <v>32</v>
      </c>
      <c r="O141" t="s">
        <v>33</v>
      </c>
      <c r="P141" t="s">
        <v>34</v>
      </c>
      <c r="Q141" t="s">
        <v>64</v>
      </c>
      <c r="R141">
        <v>8</v>
      </c>
      <c r="S141">
        <v>15000</v>
      </c>
      <c r="T141">
        <v>10</v>
      </c>
      <c r="U141">
        <v>120000</v>
      </c>
      <c r="V141">
        <v>96000</v>
      </c>
      <c r="W141">
        <v>24000</v>
      </c>
      <c r="X141" t="s">
        <v>36</v>
      </c>
      <c r="Y141" t="s">
        <v>37</v>
      </c>
    </row>
    <row r="142" spans="1:25" x14ac:dyDescent="0.25">
      <c r="A142">
        <v>141</v>
      </c>
      <c r="B142" t="s">
        <v>264</v>
      </c>
      <c r="C142">
        <v>2026</v>
      </c>
      <c r="D142">
        <v>2</v>
      </c>
      <c r="E142">
        <v>5</v>
      </c>
      <c r="F142">
        <v>21</v>
      </c>
      <c r="G142" t="s">
        <v>48</v>
      </c>
      <c r="H142" t="s">
        <v>27</v>
      </c>
      <c r="I142" t="s">
        <v>49</v>
      </c>
      <c r="J142" t="s">
        <v>59</v>
      </c>
      <c r="K142" t="s">
        <v>75</v>
      </c>
      <c r="L142" t="s">
        <v>30</v>
      </c>
      <c r="M142" t="s">
        <v>107</v>
      </c>
      <c r="N142" t="s">
        <v>32</v>
      </c>
      <c r="O142" t="s">
        <v>77</v>
      </c>
      <c r="P142" t="s">
        <v>34</v>
      </c>
      <c r="Q142" t="s">
        <v>56</v>
      </c>
      <c r="R142">
        <v>1</v>
      </c>
      <c r="S142">
        <v>12000</v>
      </c>
      <c r="T142">
        <v>0</v>
      </c>
      <c r="U142">
        <v>12000</v>
      </c>
      <c r="V142">
        <v>9600</v>
      </c>
      <c r="W142">
        <v>2400</v>
      </c>
      <c r="X142" t="s">
        <v>36</v>
      </c>
      <c r="Y142" t="s">
        <v>37</v>
      </c>
    </row>
    <row r="143" spans="1:25" x14ac:dyDescent="0.25">
      <c r="A143">
        <v>142</v>
      </c>
      <c r="B143" t="s">
        <v>265</v>
      </c>
      <c r="C143">
        <v>2026</v>
      </c>
      <c r="D143">
        <v>2</v>
      </c>
      <c r="E143">
        <v>5</v>
      </c>
      <c r="F143">
        <v>21</v>
      </c>
      <c r="G143" t="s">
        <v>26</v>
      </c>
      <c r="H143" t="s">
        <v>40</v>
      </c>
      <c r="I143" t="s">
        <v>66</v>
      </c>
      <c r="J143" t="s">
        <v>28</v>
      </c>
      <c r="K143" t="s">
        <v>42</v>
      </c>
      <c r="L143" t="s">
        <v>30</v>
      </c>
      <c r="M143" t="s">
        <v>210</v>
      </c>
      <c r="N143" t="s">
        <v>44</v>
      </c>
      <c r="O143" t="s">
        <v>77</v>
      </c>
      <c r="P143" t="s">
        <v>34</v>
      </c>
      <c r="Q143" t="s">
        <v>45</v>
      </c>
      <c r="R143">
        <v>4</v>
      </c>
      <c r="S143">
        <v>12000</v>
      </c>
      <c r="T143">
        <v>0</v>
      </c>
      <c r="U143">
        <v>48000</v>
      </c>
      <c r="V143">
        <v>38400</v>
      </c>
      <c r="W143">
        <v>9600</v>
      </c>
      <c r="X143" t="s">
        <v>36</v>
      </c>
      <c r="Y143" t="s">
        <v>37</v>
      </c>
    </row>
    <row r="144" spans="1:25" x14ac:dyDescent="0.25">
      <c r="A144">
        <v>143</v>
      </c>
      <c r="B144" t="s">
        <v>266</v>
      </c>
      <c r="C144">
        <v>2026</v>
      </c>
      <c r="D144">
        <v>2</v>
      </c>
      <c r="E144">
        <v>5</v>
      </c>
      <c r="F144">
        <v>21</v>
      </c>
      <c r="G144" t="s">
        <v>39</v>
      </c>
      <c r="H144" t="s">
        <v>49</v>
      </c>
      <c r="I144" t="s">
        <v>27</v>
      </c>
      <c r="J144" t="s">
        <v>59</v>
      </c>
      <c r="K144" t="s">
        <v>42</v>
      </c>
      <c r="L144" t="s">
        <v>43</v>
      </c>
      <c r="M144" t="s">
        <v>198</v>
      </c>
      <c r="N144" t="s">
        <v>44</v>
      </c>
      <c r="O144" t="s">
        <v>52</v>
      </c>
      <c r="P144" t="s">
        <v>34</v>
      </c>
      <c r="Q144" t="s">
        <v>64</v>
      </c>
      <c r="R144">
        <v>7</v>
      </c>
      <c r="S144">
        <v>1800</v>
      </c>
      <c r="T144">
        <v>10</v>
      </c>
      <c r="U144">
        <v>12600</v>
      </c>
      <c r="V144">
        <v>10080</v>
      </c>
      <c r="W144">
        <v>2520</v>
      </c>
      <c r="X144" t="s">
        <v>57</v>
      </c>
      <c r="Y144" t="s">
        <v>37</v>
      </c>
    </row>
    <row r="145" spans="1:25" x14ac:dyDescent="0.25">
      <c r="A145">
        <v>144</v>
      </c>
      <c r="B145" t="s">
        <v>267</v>
      </c>
      <c r="C145">
        <v>2026</v>
      </c>
      <c r="D145">
        <v>2</v>
      </c>
      <c r="E145">
        <v>5</v>
      </c>
      <c r="F145">
        <v>21</v>
      </c>
      <c r="G145" t="s">
        <v>39</v>
      </c>
      <c r="H145" t="s">
        <v>49</v>
      </c>
      <c r="I145" t="s">
        <v>27</v>
      </c>
      <c r="J145" t="s">
        <v>28</v>
      </c>
      <c r="K145" t="s">
        <v>75</v>
      </c>
      <c r="L145" t="s">
        <v>30</v>
      </c>
      <c r="M145" t="s">
        <v>198</v>
      </c>
      <c r="N145" t="s">
        <v>32</v>
      </c>
      <c r="O145" t="s">
        <v>55</v>
      </c>
      <c r="P145" t="s">
        <v>34</v>
      </c>
      <c r="Q145" t="s">
        <v>45</v>
      </c>
      <c r="R145">
        <v>10</v>
      </c>
      <c r="S145">
        <v>60000</v>
      </c>
      <c r="T145">
        <v>0</v>
      </c>
      <c r="U145">
        <v>600000</v>
      </c>
      <c r="V145">
        <v>480000</v>
      </c>
      <c r="W145">
        <v>120000</v>
      </c>
      <c r="X145" t="s">
        <v>36</v>
      </c>
      <c r="Y145" t="s">
        <v>37</v>
      </c>
    </row>
    <row r="146" spans="1:25" x14ac:dyDescent="0.25">
      <c r="A146">
        <v>145</v>
      </c>
      <c r="B146" t="s">
        <v>268</v>
      </c>
      <c r="C146">
        <v>2026</v>
      </c>
      <c r="D146">
        <v>2</v>
      </c>
      <c r="E146">
        <v>5</v>
      </c>
      <c r="F146">
        <v>22</v>
      </c>
      <c r="G146" t="s">
        <v>39</v>
      </c>
      <c r="H146" t="s">
        <v>40</v>
      </c>
      <c r="I146" t="s">
        <v>49</v>
      </c>
      <c r="J146" t="s">
        <v>59</v>
      </c>
      <c r="K146" t="s">
        <v>42</v>
      </c>
      <c r="L146" t="s">
        <v>43</v>
      </c>
      <c r="M146" t="s">
        <v>192</v>
      </c>
      <c r="N146" t="s">
        <v>44</v>
      </c>
      <c r="O146" t="s">
        <v>61</v>
      </c>
      <c r="P146" t="s">
        <v>34</v>
      </c>
      <c r="Q146" t="s">
        <v>56</v>
      </c>
      <c r="R146">
        <v>3</v>
      </c>
      <c r="S146">
        <v>1500</v>
      </c>
      <c r="T146">
        <v>5</v>
      </c>
      <c r="U146">
        <v>4500</v>
      </c>
      <c r="V146">
        <v>3600</v>
      </c>
      <c r="W146">
        <v>900</v>
      </c>
      <c r="X146" t="s">
        <v>36</v>
      </c>
      <c r="Y146" t="s">
        <v>37</v>
      </c>
    </row>
    <row r="147" spans="1:25" x14ac:dyDescent="0.25">
      <c r="A147">
        <v>146</v>
      </c>
      <c r="B147" t="s">
        <v>269</v>
      </c>
      <c r="C147">
        <v>2026</v>
      </c>
      <c r="D147">
        <v>2</v>
      </c>
      <c r="E147">
        <v>5</v>
      </c>
      <c r="F147">
        <v>22</v>
      </c>
      <c r="G147" t="s">
        <v>26</v>
      </c>
      <c r="H147" t="s">
        <v>40</v>
      </c>
      <c r="I147" t="s">
        <v>66</v>
      </c>
      <c r="J147" t="s">
        <v>28</v>
      </c>
      <c r="K147" t="s">
        <v>50</v>
      </c>
      <c r="L147" t="s">
        <v>43</v>
      </c>
      <c r="M147" t="s">
        <v>87</v>
      </c>
      <c r="N147" t="s">
        <v>44</v>
      </c>
      <c r="O147" t="s">
        <v>55</v>
      </c>
      <c r="P147" t="s">
        <v>34</v>
      </c>
      <c r="Q147" t="s">
        <v>56</v>
      </c>
      <c r="R147">
        <v>8</v>
      </c>
      <c r="S147">
        <v>60000</v>
      </c>
      <c r="T147">
        <v>10</v>
      </c>
      <c r="U147">
        <v>480000</v>
      </c>
      <c r="V147">
        <v>384000</v>
      </c>
      <c r="W147">
        <v>96000</v>
      </c>
      <c r="X147" t="s">
        <v>57</v>
      </c>
      <c r="Y147" t="s">
        <v>37</v>
      </c>
    </row>
    <row r="148" spans="1:25" x14ac:dyDescent="0.25">
      <c r="A148">
        <v>147</v>
      </c>
      <c r="B148" t="s">
        <v>270</v>
      </c>
      <c r="C148">
        <v>2026</v>
      </c>
      <c r="D148">
        <v>2</v>
      </c>
      <c r="E148">
        <v>5</v>
      </c>
      <c r="F148">
        <v>22</v>
      </c>
      <c r="G148" t="s">
        <v>39</v>
      </c>
      <c r="H148" t="s">
        <v>49</v>
      </c>
      <c r="I148" t="s">
        <v>49</v>
      </c>
      <c r="J148" t="s">
        <v>59</v>
      </c>
      <c r="K148" t="s">
        <v>29</v>
      </c>
      <c r="L148" t="s">
        <v>43</v>
      </c>
      <c r="M148" t="s">
        <v>271</v>
      </c>
      <c r="N148" t="s">
        <v>44</v>
      </c>
      <c r="O148" t="s">
        <v>52</v>
      </c>
      <c r="P148" t="s">
        <v>34</v>
      </c>
      <c r="Q148" t="s">
        <v>56</v>
      </c>
      <c r="R148">
        <v>9</v>
      </c>
      <c r="S148">
        <v>1800</v>
      </c>
      <c r="T148">
        <v>10</v>
      </c>
      <c r="U148">
        <v>16200</v>
      </c>
      <c r="V148">
        <v>12960</v>
      </c>
      <c r="W148">
        <v>3240</v>
      </c>
      <c r="X148" t="s">
        <v>36</v>
      </c>
      <c r="Y148" t="s">
        <v>37</v>
      </c>
    </row>
    <row r="149" spans="1:25" x14ac:dyDescent="0.25">
      <c r="A149">
        <v>148</v>
      </c>
      <c r="B149" t="s">
        <v>272</v>
      </c>
      <c r="C149">
        <v>2026</v>
      </c>
      <c r="D149">
        <v>2</v>
      </c>
      <c r="E149">
        <v>5</v>
      </c>
      <c r="F149">
        <v>22</v>
      </c>
      <c r="G149" t="s">
        <v>48</v>
      </c>
      <c r="H149" t="s">
        <v>27</v>
      </c>
      <c r="I149" t="s">
        <v>27</v>
      </c>
      <c r="J149" t="s">
        <v>59</v>
      </c>
      <c r="K149" t="s">
        <v>50</v>
      </c>
      <c r="L149" t="s">
        <v>43</v>
      </c>
      <c r="M149" t="s">
        <v>80</v>
      </c>
      <c r="N149" t="s">
        <v>44</v>
      </c>
      <c r="O149" t="s">
        <v>52</v>
      </c>
      <c r="P149" t="s">
        <v>34</v>
      </c>
      <c r="Q149" t="s">
        <v>35</v>
      </c>
      <c r="R149">
        <v>1</v>
      </c>
      <c r="S149">
        <v>1800</v>
      </c>
      <c r="T149">
        <v>5</v>
      </c>
      <c r="U149">
        <v>1800</v>
      </c>
      <c r="V149">
        <v>1440</v>
      </c>
      <c r="W149">
        <v>360</v>
      </c>
      <c r="X149" t="s">
        <v>46</v>
      </c>
      <c r="Y149" t="s">
        <v>37</v>
      </c>
    </row>
    <row r="150" spans="1:25" x14ac:dyDescent="0.25">
      <c r="A150">
        <v>149</v>
      </c>
      <c r="B150" t="s">
        <v>273</v>
      </c>
      <c r="C150">
        <v>2026</v>
      </c>
      <c r="D150">
        <v>2</v>
      </c>
      <c r="E150">
        <v>5</v>
      </c>
      <c r="F150">
        <v>22</v>
      </c>
      <c r="G150" t="s">
        <v>48</v>
      </c>
      <c r="H150" t="s">
        <v>49</v>
      </c>
      <c r="I150" t="s">
        <v>66</v>
      </c>
      <c r="J150" t="s">
        <v>41</v>
      </c>
      <c r="K150" t="s">
        <v>42</v>
      </c>
      <c r="L150" t="s">
        <v>30</v>
      </c>
      <c r="M150" t="s">
        <v>76</v>
      </c>
      <c r="N150" t="s">
        <v>44</v>
      </c>
      <c r="O150" t="s">
        <v>52</v>
      </c>
      <c r="P150" t="s">
        <v>34</v>
      </c>
      <c r="Q150" t="s">
        <v>45</v>
      </c>
      <c r="R150">
        <v>8</v>
      </c>
      <c r="S150">
        <v>1800</v>
      </c>
      <c r="T150">
        <v>0</v>
      </c>
      <c r="U150">
        <v>14400</v>
      </c>
      <c r="V150">
        <v>11520</v>
      </c>
      <c r="W150">
        <v>2880</v>
      </c>
      <c r="X150" t="s">
        <v>46</v>
      </c>
      <c r="Y150" t="s">
        <v>37</v>
      </c>
    </row>
    <row r="151" spans="1:25" x14ac:dyDescent="0.25">
      <c r="A151">
        <v>150</v>
      </c>
      <c r="B151" t="s">
        <v>274</v>
      </c>
      <c r="C151">
        <v>2026</v>
      </c>
      <c r="D151">
        <v>2</v>
      </c>
      <c r="E151">
        <v>5</v>
      </c>
      <c r="F151">
        <v>22</v>
      </c>
      <c r="G151" t="s">
        <v>48</v>
      </c>
      <c r="H151" t="s">
        <v>27</v>
      </c>
      <c r="I151" t="s">
        <v>49</v>
      </c>
      <c r="J151" t="s">
        <v>41</v>
      </c>
      <c r="K151" t="s">
        <v>50</v>
      </c>
      <c r="L151" t="s">
        <v>30</v>
      </c>
      <c r="M151" t="s">
        <v>224</v>
      </c>
      <c r="N151" t="s">
        <v>44</v>
      </c>
      <c r="O151" t="s">
        <v>52</v>
      </c>
      <c r="P151" t="s">
        <v>34</v>
      </c>
      <c r="Q151" t="s">
        <v>56</v>
      </c>
      <c r="R151">
        <v>4</v>
      </c>
      <c r="S151">
        <v>1800</v>
      </c>
      <c r="T151">
        <v>10</v>
      </c>
      <c r="U151">
        <v>7200</v>
      </c>
      <c r="V151">
        <v>5760</v>
      </c>
      <c r="W151">
        <v>1440</v>
      </c>
      <c r="X151" t="s">
        <v>36</v>
      </c>
      <c r="Y151" t="s">
        <v>37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282</v>
      </c>
      <c r="C1" t="s">
        <v>11</v>
      </c>
      <c r="D1" t="s">
        <v>283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  <c r="N1" t="s">
        <v>293</v>
      </c>
      <c r="O1" t="s">
        <v>294</v>
      </c>
      <c r="P1" t="s">
        <v>8</v>
      </c>
      <c r="Q1" t="s">
        <v>7</v>
      </c>
      <c r="R1" t="s">
        <v>295</v>
      </c>
      <c r="S1" t="s">
        <v>296</v>
      </c>
      <c r="T1" t="s">
        <v>297</v>
      </c>
      <c r="U1" t="s">
        <v>298</v>
      </c>
      <c r="V1" t="s">
        <v>299</v>
      </c>
      <c r="W1" t="s">
        <v>300</v>
      </c>
      <c r="X1" t="s">
        <v>21</v>
      </c>
      <c r="Y1" t="s">
        <v>24</v>
      </c>
    </row>
    <row r="2" spans="1:25" x14ac:dyDescent="0.25">
      <c r="A2">
        <v>1</v>
      </c>
      <c r="B2" t="s">
        <v>301</v>
      </c>
      <c r="C2" t="s">
        <v>30</v>
      </c>
      <c r="D2">
        <v>23</v>
      </c>
      <c r="E2" t="s">
        <v>302</v>
      </c>
      <c r="F2" t="s">
        <v>303</v>
      </c>
      <c r="G2" t="s">
        <v>304</v>
      </c>
      <c r="H2" t="s">
        <v>305</v>
      </c>
      <c r="I2" t="s">
        <v>306</v>
      </c>
      <c r="J2">
        <v>12</v>
      </c>
      <c r="K2">
        <v>80790</v>
      </c>
      <c r="L2">
        <v>4578</v>
      </c>
      <c r="M2">
        <v>9</v>
      </c>
      <c r="N2">
        <v>3</v>
      </c>
      <c r="O2">
        <v>4.7</v>
      </c>
      <c r="P2" t="s">
        <v>66</v>
      </c>
      <c r="Q2" t="s">
        <v>49</v>
      </c>
      <c r="R2" t="s">
        <v>307</v>
      </c>
      <c r="S2" t="s">
        <v>308</v>
      </c>
      <c r="T2" t="s">
        <v>309</v>
      </c>
      <c r="U2">
        <v>1</v>
      </c>
      <c r="V2">
        <v>18</v>
      </c>
      <c r="W2">
        <v>4632</v>
      </c>
      <c r="X2">
        <v>76053</v>
      </c>
      <c r="Y2" t="s">
        <v>310</v>
      </c>
    </row>
    <row r="3" spans="1:25" x14ac:dyDescent="0.25">
      <c r="A3">
        <v>2</v>
      </c>
      <c r="B3" t="s">
        <v>311</v>
      </c>
      <c r="C3" t="s">
        <v>43</v>
      </c>
      <c r="D3">
        <v>50</v>
      </c>
      <c r="E3" t="s">
        <v>302</v>
      </c>
      <c r="F3" t="s">
        <v>312</v>
      </c>
      <c r="G3" t="s">
        <v>313</v>
      </c>
      <c r="H3" t="s">
        <v>314</v>
      </c>
      <c r="I3" t="s">
        <v>315</v>
      </c>
      <c r="J3">
        <v>13</v>
      </c>
      <c r="K3">
        <v>82165</v>
      </c>
      <c r="L3">
        <v>6032</v>
      </c>
      <c r="M3">
        <v>2</v>
      </c>
      <c r="N3">
        <v>4</v>
      </c>
      <c r="O3">
        <v>3.8</v>
      </c>
      <c r="P3" t="s">
        <v>49</v>
      </c>
      <c r="Q3" t="s">
        <v>40</v>
      </c>
      <c r="R3" t="s">
        <v>307</v>
      </c>
      <c r="S3" t="s">
        <v>308</v>
      </c>
      <c r="T3" t="s">
        <v>316</v>
      </c>
      <c r="U3">
        <v>8</v>
      </c>
      <c r="V3">
        <v>29</v>
      </c>
      <c r="W3">
        <v>6338</v>
      </c>
      <c r="X3">
        <v>40471</v>
      </c>
      <c r="Y3" t="s">
        <v>310</v>
      </c>
    </row>
    <row r="4" spans="1:25" x14ac:dyDescent="0.25">
      <c r="A4">
        <v>3</v>
      </c>
      <c r="B4" t="s">
        <v>317</v>
      </c>
      <c r="C4" t="s">
        <v>43</v>
      </c>
      <c r="D4">
        <v>32</v>
      </c>
      <c r="E4" t="s">
        <v>318</v>
      </c>
      <c r="F4" t="s">
        <v>303</v>
      </c>
      <c r="G4" t="s">
        <v>313</v>
      </c>
      <c r="H4" t="s">
        <v>305</v>
      </c>
      <c r="I4" t="s">
        <v>319</v>
      </c>
      <c r="J4">
        <v>25</v>
      </c>
      <c r="K4">
        <v>49568</v>
      </c>
      <c r="L4">
        <v>6713</v>
      </c>
      <c r="M4">
        <v>19</v>
      </c>
      <c r="N4">
        <v>4</v>
      </c>
      <c r="O4">
        <v>3.9</v>
      </c>
      <c r="P4" t="s">
        <v>27</v>
      </c>
      <c r="Q4" t="s">
        <v>40</v>
      </c>
      <c r="R4" t="s">
        <v>307</v>
      </c>
      <c r="S4" t="s">
        <v>320</v>
      </c>
      <c r="T4" t="s">
        <v>321</v>
      </c>
      <c r="U4">
        <v>8</v>
      </c>
      <c r="V4">
        <v>25</v>
      </c>
      <c r="W4">
        <v>6481</v>
      </c>
      <c r="X4">
        <v>68234</v>
      </c>
      <c r="Y4" t="s">
        <v>310</v>
      </c>
    </row>
    <row r="5" spans="1:25" x14ac:dyDescent="0.25">
      <c r="A5">
        <v>4</v>
      </c>
      <c r="B5" t="s">
        <v>322</v>
      </c>
      <c r="C5" t="s">
        <v>30</v>
      </c>
      <c r="D5">
        <v>30</v>
      </c>
      <c r="E5" t="s">
        <v>302</v>
      </c>
      <c r="F5" t="s">
        <v>312</v>
      </c>
      <c r="G5" t="s">
        <v>313</v>
      </c>
      <c r="H5" t="s">
        <v>305</v>
      </c>
      <c r="I5" t="s">
        <v>323</v>
      </c>
      <c r="J5">
        <v>10</v>
      </c>
      <c r="K5">
        <v>80684</v>
      </c>
      <c r="L5">
        <v>3010</v>
      </c>
      <c r="M5">
        <v>15</v>
      </c>
      <c r="N5">
        <v>0</v>
      </c>
      <c r="O5">
        <v>4.0999999999999996</v>
      </c>
      <c r="P5" t="s">
        <v>27</v>
      </c>
      <c r="Q5" t="s">
        <v>27</v>
      </c>
      <c r="R5" t="s">
        <v>324</v>
      </c>
      <c r="S5" t="s">
        <v>320</v>
      </c>
      <c r="T5" t="s">
        <v>309</v>
      </c>
      <c r="U5">
        <v>3</v>
      </c>
      <c r="V5">
        <v>29</v>
      </c>
      <c r="W5">
        <v>2024</v>
      </c>
      <c r="X5">
        <v>76374</v>
      </c>
      <c r="Y5" t="s">
        <v>310</v>
      </c>
    </row>
    <row r="6" spans="1:25" x14ac:dyDescent="0.25">
      <c r="A6">
        <v>5</v>
      </c>
      <c r="B6" t="s">
        <v>325</v>
      </c>
      <c r="C6" t="s">
        <v>30</v>
      </c>
      <c r="D6">
        <v>28</v>
      </c>
      <c r="E6" t="s">
        <v>302</v>
      </c>
      <c r="F6" t="s">
        <v>326</v>
      </c>
      <c r="G6" t="s">
        <v>313</v>
      </c>
      <c r="H6" t="s">
        <v>305</v>
      </c>
      <c r="I6" t="s">
        <v>327</v>
      </c>
      <c r="J6">
        <v>20</v>
      </c>
      <c r="K6">
        <v>68420</v>
      </c>
      <c r="L6">
        <v>3005</v>
      </c>
      <c r="M6">
        <v>18</v>
      </c>
      <c r="N6">
        <v>4</v>
      </c>
      <c r="O6">
        <v>4</v>
      </c>
      <c r="P6" t="s">
        <v>66</v>
      </c>
      <c r="Q6" t="s">
        <v>40</v>
      </c>
      <c r="R6" t="s">
        <v>307</v>
      </c>
      <c r="S6" t="s">
        <v>320</v>
      </c>
      <c r="T6" t="s">
        <v>328</v>
      </c>
      <c r="U6">
        <v>8</v>
      </c>
      <c r="V6">
        <v>30</v>
      </c>
      <c r="W6">
        <v>8060</v>
      </c>
      <c r="X6">
        <v>69264</v>
      </c>
      <c r="Y6" t="s">
        <v>310</v>
      </c>
    </row>
    <row r="7" spans="1:25" x14ac:dyDescent="0.25">
      <c r="A7">
        <v>6</v>
      </c>
      <c r="B7" t="s">
        <v>329</v>
      </c>
      <c r="C7" t="s">
        <v>43</v>
      </c>
      <c r="D7">
        <v>57</v>
      </c>
      <c r="E7" t="s">
        <v>302</v>
      </c>
      <c r="F7" t="s">
        <v>303</v>
      </c>
      <c r="G7" t="s">
        <v>313</v>
      </c>
      <c r="H7" t="s">
        <v>314</v>
      </c>
      <c r="I7" t="s">
        <v>330</v>
      </c>
      <c r="J7">
        <v>22</v>
      </c>
      <c r="K7">
        <v>63071</v>
      </c>
      <c r="L7">
        <v>3635</v>
      </c>
      <c r="M7">
        <v>6</v>
      </c>
      <c r="N7">
        <v>3</v>
      </c>
      <c r="O7">
        <v>4.5</v>
      </c>
      <c r="P7" t="s">
        <v>49</v>
      </c>
      <c r="Q7" t="s">
        <v>49</v>
      </c>
      <c r="R7" t="s">
        <v>324</v>
      </c>
      <c r="S7" t="s">
        <v>308</v>
      </c>
      <c r="T7" t="s">
        <v>316</v>
      </c>
      <c r="U7">
        <v>5</v>
      </c>
      <c r="V7">
        <v>30</v>
      </c>
      <c r="W7">
        <v>3268</v>
      </c>
      <c r="X7">
        <v>56916</v>
      </c>
      <c r="Y7" t="s">
        <v>310</v>
      </c>
    </row>
    <row r="8" spans="1:25" x14ac:dyDescent="0.25">
      <c r="A8">
        <v>7</v>
      </c>
      <c r="B8" t="s">
        <v>331</v>
      </c>
      <c r="C8" t="s">
        <v>30</v>
      </c>
      <c r="D8">
        <v>48</v>
      </c>
      <c r="E8" t="s">
        <v>318</v>
      </c>
      <c r="F8" t="s">
        <v>332</v>
      </c>
      <c r="G8" t="s">
        <v>304</v>
      </c>
      <c r="H8" t="s">
        <v>314</v>
      </c>
      <c r="I8" t="s">
        <v>333</v>
      </c>
      <c r="J8">
        <v>2</v>
      </c>
      <c r="K8">
        <v>69597</v>
      </c>
      <c r="L8">
        <v>5415</v>
      </c>
      <c r="M8">
        <v>18</v>
      </c>
      <c r="N8">
        <v>0</v>
      </c>
      <c r="O8">
        <v>4.0999999999999996</v>
      </c>
      <c r="P8" t="s">
        <v>66</v>
      </c>
      <c r="Q8" t="s">
        <v>27</v>
      </c>
      <c r="R8" t="s">
        <v>324</v>
      </c>
      <c r="S8" t="s">
        <v>308</v>
      </c>
      <c r="T8" t="s">
        <v>309</v>
      </c>
      <c r="U8">
        <v>2</v>
      </c>
      <c r="V8">
        <v>22</v>
      </c>
      <c r="W8">
        <v>2985</v>
      </c>
      <c r="X8">
        <v>97973</v>
      </c>
      <c r="Y8" t="s">
        <v>310</v>
      </c>
    </row>
    <row r="9" spans="1:25" x14ac:dyDescent="0.25">
      <c r="A9">
        <v>8</v>
      </c>
      <c r="B9" t="s">
        <v>334</v>
      </c>
      <c r="C9" t="s">
        <v>43</v>
      </c>
      <c r="D9">
        <v>60</v>
      </c>
      <c r="E9" t="s">
        <v>318</v>
      </c>
      <c r="F9" t="s">
        <v>332</v>
      </c>
      <c r="G9" t="s">
        <v>313</v>
      </c>
      <c r="H9" t="s">
        <v>314</v>
      </c>
      <c r="I9" t="s">
        <v>335</v>
      </c>
      <c r="J9">
        <v>19</v>
      </c>
      <c r="K9">
        <v>74902</v>
      </c>
      <c r="L9">
        <v>6682</v>
      </c>
      <c r="M9">
        <v>6</v>
      </c>
      <c r="N9">
        <v>0</v>
      </c>
      <c r="O9">
        <v>4.0999999999999996</v>
      </c>
      <c r="P9" t="s">
        <v>66</v>
      </c>
      <c r="Q9" t="s">
        <v>40</v>
      </c>
      <c r="R9" t="s">
        <v>307</v>
      </c>
      <c r="S9" t="s">
        <v>320</v>
      </c>
      <c r="T9" t="s">
        <v>336</v>
      </c>
      <c r="U9">
        <v>2</v>
      </c>
      <c r="V9">
        <v>18</v>
      </c>
      <c r="W9">
        <v>1798</v>
      </c>
      <c r="X9">
        <v>53722</v>
      </c>
      <c r="Y9" t="s">
        <v>310</v>
      </c>
    </row>
    <row r="10" spans="1:25" x14ac:dyDescent="0.25">
      <c r="A10">
        <v>9</v>
      </c>
      <c r="B10" t="s">
        <v>337</v>
      </c>
      <c r="C10" t="s">
        <v>30</v>
      </c>
      <c r="D10">
        <v>29</v>
      </c>
      <c r="E10" t="s">
        <v>318</v>
      </c>
      <c r="F10" t="s">
        <v>326</v>
      </c>
      <c r="G10" t="s">
        <v>304</v>
      </c>
      <c r="H10" t="s">
        <v>314</v>
      </c>
      <c r="I10" t="s">
        <v>338</v>
      </c>
      <c r="J10">
        <v>15</v>
      </c>
      <c r="K10">
        <v>77913</v>
      </c>
      <c r="L10">
        <v>7507</v>
      </c>
      <c r="M10">
        <v>17</v>
      </c>
      <c r="N10">
        <v>5</v>
      </c>
      <c r="O10">
        <v>4.0999999999999996</v>
      </c>
      <c r="P10" t="s">
        <v>66</v>
      </c>
      <c r="Q10" t="s">
        <v>27</v>
      </c>
      <c r="R10" t="s">
        <v>324</v>
      </c>
      <c r="S10" t="s">
        <v>308</v>
      </c>
      <c r="T10" t="s">
        <v>309</v>
      </c>
      <c r="U10">
        <v>6</v>
      </c>
      <c r="V10">
        <v>20</v>
      </c>
      <c r="W10">
        <v>1043</v>
      </c>
      <c r="X10">
        <v>96899</v>
      </c>
      <c r="Y10" t="s">
        <v>310</v>
      </c>
    </row>
    <row r="11" spans="1:25" x14ac:dyDescent="0.25">
      <c r="A11">
        <v>10</v>
      </c>
      <c r="B11" t="s">
        <v>339</v>
      </c>
      <c r="C11" t="s">
        <v>43</v>
      </c>
      <c r="D11">
        <v>29</v>
      </c>
      <c r="E11" t="s">
        <v>302</v>
      </c>
      <c r="F11" t="s">
        <v>326</v>
      </c>
      <c r="G11" t="s">
        <v>304</v>
      </c>
      <c r="H11" t="s">
        <v>305</v>
      </c>
      <c r="I11" t="s">
        <v>340</v>
      </c>
      <c r="J11">
        <v>19</v>
      </c>
      <c r="K11">
        <v>55344</v>
      </c>
      <c r="L11">
        <v>6194</v>
      </c>
      <c r="M11">
        <v>13</v>
      </c>
      <c r="N11">
        <v>0</v>
      </c>
      <c r="O11">
        <v>3.9</v>
      </c>
      <c r="P11" t="s">
        <v>49</v>
      </c>
      <c r="Q11" t="s">
        <v>49</v>
      </c>
      <c r="R11" t="s">
        <v>307</v>
      </c>
      <c r="S11" t="s">
        <v>320</v>
      </c>
      <c r="T11" t="s">
        <v>341</v>
      </c>
      <c r="U11">
        <v>6</v>
      </c>
      <c r="V11">
        <v>23</v>
      </c>
      <c r="W11">
        <v>9537</v>
      </c>
      <c r="X11">
        <v>63141</v>
      </c>
      <c r="Y11" t="s">
        <v>310</v>
      </c>
    </row>
    <row r="12" spans="1:25" x14ac:dyDescent="0.25">
      <c r="A12">
        <v>11</v>
      </c>
      <c r="B12" t="s">
        <v>342</v>
      </c>
      <c r="C12" t="s">
        <v>30</v>
      </c>
      <c r="D12">
        <v>59</v>
      </c>
      <c r="E12" t="s">
        <v>318</v>
      </c>
      <c r="F12" t="s">
        <v>303</v>
      </c>
      <c r="G12" t="s">
        <v>304</v>
      </c>
      <c r="H12" t="s">
        <v>305</v>
      </c>
      <c r="I12" t="s">
        <v>343</v>
      </c>
      <c r="J12">
        <v>16</v>
      </c>
      <c r="K12">
        <v>66885</v>
      </c>
      <c r="L12">
        <v>5746</v>
      </c>
      <c r="M12">
        <v>6</v>
      </c>
      <c r="N12">
        <v>1</v>
      </c>
      <c r="O12">
        <v>4.5999999999999996</v>
      </c>
      <c r="P12" t="s">
        <v>66</v>
      </c>
      <c r="Q12" t="s">
        <v>49</v>
      </c>
      <c r="R12" t="s">
        <v>307</v>
      </c>
      <c r="S12" t="s">
        <v>320</v>
      </c>
      <c r="T12" t="s">
        <v>321</v>
      </c>
      <c r="U12">
        <v>6</v>
      </c>
      <c r="V12">
        <v>24</v>
      </c>
      <c r="W12">
        <v>3571</v>
      </c>
      <c r="X12">
        <v>76358</v>
      </c>
      <c r="Y12" t="s">
        <v>310</v>
      </c>
    </row>
    <row r="13" spans="1:25" x14ac:dyDescent="0.25">
      <c r="A13">
        <v>12</v>
      </c>
      <c r="B13" t="s">
        <v>344</v>
      </c>
      <c r="C13" t="s">
        <v>43</v>
      </c>
      <c r="D13">
        <v>42</v>
      </c>
      <c r="E13" t="s">
        <v>318</v>
      </c>
      <c r="F13" t="s">
        <v>326</v>
      </c>
      <c r="G13" t="s">
        <v>313</v>
      </c>
      <c r="H13" t="s">
        <v>305</v>
      </c>
      <c r="I13" t="s">
        <v>345</v>
      </c>
      <c r="J13">
        <v>24</v>
      </c>
      <c r="K13">
        <v>85005</v>
      </c>
      <c r="L13">
        <v>7088</v>
      </c>
      <c r="M13">
        <v>20</v>
      </c>
      <c r="N13">
        <v>0</v>
      </c>
      <c r="O13">
        <v>4.7</v>
      </c>
      <c r="P13" t="s">
        <v>66</v>
      </c>
      <c r="Q13" t="s">
        <v>40</v>
      </c>
      <c r="R13" t="s">
        <v>324</v>
      </c>
      <c r="S13" t="s">
        <v>320</v>
      </c>
      <c r="T13" t="s">
        <v>336</v>
      </c>
      <c r="U13">
        <v>7</v>
      </c>
      <c r="V13">
        <v>19</v>
      </c>
      <c r="W13">
        <v>378</v>
      </c>
      <c r="X13">
        <v>62419</v>
      </c>
      <c r="Y13" t="s">
        <v>310</v>
      </c>
    </row>
    <row r="14" spans="1:25" x14ac:dyDescent="0.25">
      <c r="A14">
        <v>13</v>
      </c>
      <c r="B14" t="s">
        <v>346</v>
      </c>
      <c r="C14" t="s">
        <v>43</v>
      </c>
      <c r="D14">
        <v>55</v>
      </c>
      <c r="E14" t="s">
        <v>318</v>
      </c>
      <c r="F14" t="s">
        <v>347</v>
      </c>
      <c r="G14" t="s">
        <v>304</v>
      </c>
      <c r="H14" t="s">
        <v>314</v>
      </c>
      <c r="I14" t="s">
        <v>348</v>
      </c>
      <c r="J14">
        <v>6</v>
      </c>
      <c r="K14">
        <v>69832</v>
      </c>
      <c r="L14">
        <v>7104</v>
      </c>
      <c r="M14">
        <v>7</v>
      </c>
      <c r="N14">
        <v>2</v>
      </c>
      <c r="O14">
        <v>4.7</v>
      </c>
      <c r="P14" t="s">
        <v>27</v>
      </c>
      <c r="Q14" t="s">
        <v>49</v>
      </c>
      <c r="R14" t="s">
        <v>307</v>
      </c>
      <c r="S14" t="s">
        <v>308</v>
      </c>
      <c r="T14" t="s">
        <v>341</v>
      </c>
      <c r="U14">
        <v>3</v>
      </c>
      <c r="V14">
        <v>22</v>
      </c>
      <c r="W14">
        <v>277</v>
      </c>
      <c r="X14">
        <v>58909</v>
      </c>
      <c r="Y14" t="s">
        <v>310</v>
      </c>
    </row>
    <row r="15" spans="1:25" x14ac:dyDescent="0.25">
      <c r="A15">
        <v>14</v>
      </c>
      <c r="B15" t="s">
        <v>349</v>
      </c>
      <c r="C15" t="s">
        <v>43</v>
      </c>
      <c r="D15">
        <v>30</v>
      </c>
      <c r="E15" t="s">
        <v>318</v>
      </c>
      <c r="F15" t="s">
        <v>303</v>
      </c>
      <c r="G15" t="s">
        <v>313</v>
      </c>
      <c r="H15" t="s">
        <v>305</v>
      </c>
      <c r="I15" t="s">
        <v>350</v>
      </c>
      <c r="J15">
        <v>10</v>
      </c>
      <c r="K15">
        <v>55784</v>
      </c>
      <c r="L15">
        <v>6585</v>
      </c>
      <c r="M15">
        <v>16</v>
      </c>
      <c r="N15">
        <v>4</v>
      </c>
      <c r="O15">
        <v>4.8</v>
      </c>
      <c r="P15" t="s">
        <v>49</v>
      </c>
      <c r="Q15" t="s">
        <v>27</v>
      </c>
      <c r="R15" t="s">
        <v>324</v>
      </c>
      <c r="S15" t="s">
        <v>308</v>
      </c>
      <c r="T15" t="s">
        <v>316</v>
      </c>
      <c r="U15">
        <v>8</v>
      </c>
      <c r="V15">
        <v>30</v>
      </c>
      <c r="W15">
        <v>9593</v>
      </c>
      <c r="X15">
        <v>46820</v>
      </c>
      <c r="Y15" t="s">
        <v>310</v>
      </c>
    </row>
    <row r="16" spans="1:25" x14ac:dyDescent="0.25">
      <c r="A16">
        <v>15</v>
      </c>
      <c r="B16" t="s">
        <v>351</v>
      </c>
      <c r="C16" t="s">
        <v>43</v>
      </c>
      <c r="D16">
        <v>31</v>
      </c>
      <c r="E16" t="s">
        <v>318</v>
      </c>
      <c r="F16" t="s">
        <v>347</v>
      </c>
      <c r="G16" t="s">
        <v>304</v>
      </c>
      <c r="H16" t="s">
        <v>305</v>
      </c>
      <c r="I16" t="s">
        <v>352</v>
      </c>
      <c r="J16">
        <v>12</v>
      </c>
      <c r="K16">
        <v>36890</v>
      </c>
      <c r="L16">
        <v>7654</v>
      </c>
      <c r="M16">
        <v>5</v>
      </c>
      <c r="N16">
        <v>0</v>
      </c>
      <c r="O16">
        <v>3.9</v>
      </c>
      <c r="P16" t="s">
        <v>27</v>
      </c>
      <c r="Q16" t="s">
        <v>40</v>
      </c>
      <c r="R16" t="s">
        <v>324</v>
      </c>
      <c r="S16" t="s">
        <v>308</v>
      </c>
      <c r="T16" t="s">
        <v>321</v>
      </c>
      <c r="U16">
        <v>7</v>
      </c>
      <c r="V16">
        <v>20</v>
      </c>
      <c r="W16">
        <v>6252</v>
      </c>
      <c r="X16">
        <v>50973</v>
      </c>
      <c r="Y16" t="s">
        <v>310</v>
      </c>
    </row>
    <row r="17" spans="1:25" x14ac:dyDescent="0.25">
      <c r="A17">
        <v>16</v>
      </c>
      <c r="B17" t="s">
        <v>353</v>
      </c>
      <c r="C17" t="s">
        <v>30</v>
      </c>
      <c r="D17">
        <v>22</v>
      </c>
      <c r="E17" t="s">
        <v>318</v>
      </c>
      <c r="F17" t="s">
        <v>312</v>
      </c>
      <c r="G17" t="s">
        <v>313</v>
      </c>
      <c r="H17" t="s">
        <v>314</v>
      </c>
      <c r="I17" t="s">
        <v>354</v>
      </c>
      <c r="J17">
        <v>2</v>
      </c>
      <c r="K17">
        <v>44670</v>
      </c>
      <c r="L17">
        <v>4984</v>
      </c>
      <c r="M17">
        <v>6</v>
      </c>
      <c r="N17">
        <v>1</v>
      </c>
      <c r="O17">
        <v>4.2</v>
      </c>
      <c r="P17" t="s">
        <v>49</v>
      </c>
      <c r="Q17" t="s">
        <v>49</v>
      </c>
      <c r="R17" t="s">
        <v>324</v>
      </c>
      <c r="S17" t="s">
        <v>308</v>
      </c>
      <c r="T17" t="s">
        <v>328</v>
      </c>
      <c r="U17">
        <v>0</v>
      </c>
      <c r="V17">
        <v>24</v>
      </c>
      <c r="W17">
        <v>9117</v>
      </c>
      <c r="X17">
        <v>71099</v>
      </c>
      <c r="Y17" t="s">
        <v>310</v>
      </c>
    </row>
    <row r="18" spans="1:25" x14ac:dyDescent="0.25">
      <c r="A18">
        <v>17</v>
      </c>
      <c r="B18" t="s">
        <v>355</v>
      </c>
      <c r="C18" t="s">
        <v>30</v>
      </c>
      <c r="D18">
        <v>29</v>
      </c>
      <c r="E18" t="s">
        <v>302</v>
      </c>
      <c r="F18" t="s">
        <v>303</v>
      </c>
      <c r="G18" t="s">
        <v>313</v>
      </c>
      <c r="H18" t="s">
        <v>305</v>
      </c>
      <c r="I18" t="s">
        <v>356</v>
      </c>
      <c r="J18">
        <v>7</v>
      </c>
      <c r="K18">
        <v>57315</v>
      </c>
      <c r="L18">
        <v>5619</v>
      </c>
      <c r="M18">
        <v>17</v>
      </c>
      <c r="N18">
        <v>0</v>
      </c>
      <c r="O18">
        <v>4.9000000000000004</v>
      </c>
      <c r="P18" t="s">
        <v>49</v>
      </c>
      <c r="Q18" t="s">
        <v>49</v>
      </c>
      <c r="R18" t="s">
        <v>324</v>
      </c>
      <c r="S18" t="s">
        <v>320</v>
      </c>
      <c r="T18" t="s">
        <v>336</v>
      </c>
      <c r="U18">
        <v>2</v>
      </c>
      <c r="V18">
        <v>17</v>
      </c>
      <c r="W18">
        <v>4972</v>
      </c>
      <c r="X18">
        <v>75094</v>
      </c>
      <c r="Y18" t="s">
        <v>310</v>
      </c>
    </row>
    <row r="19" spans="1:25" x14ac:dyDescent="0.25">
      <c r="A19">
        <v>18</v>
      </c>
      <c r="B19" t="s">
        <v>357</v>
      </c>
      <c r="C19" t="s">
        <v>30</v>
      </c>
      <c r="D19">
        <v>55</v>
      </c>
      <c r="E19" t="s">
        <v>318</v>
      </c>
      <c r="F19" t="s">
        <v>332</v>
      </c>
      <c r="G19" t="s">
        <v>313</v>
      </c>
      <c r="H19" t="s">
        <v>314</v>
      </c>
      <c r="I19" t="s">
        <v>358</v>
      </c>
      <c r="J19">
        <v>25</v>
      </c>
      <c r="K19">
        <v>53847</v>
      </c>
      <c r="L19">
        <v>2809</v>
      </c>
      <c r="M19">
        <v>9</v>
      </c>
      <c r="N19">
        <v>1</v>
      </c>
      <c r="O19">
        <v>4.5</v>
      </c>
      <c r="P19" t="s">
        <v>27</v>
      </c>
      <c r="Q19" t="s">
        <v>27</v>
      </c>
      <c r="R19" t="s">
        <v>324</v>
      </c>
      <c r="S19" t="s">
        <v>320</v>
      </c>
      <c r="T19" t="s">
        <v>328</v>
      </c>
      <c r="U19">
        <v>0</v>
      </c>
      <c r="V19">
        <v>22</v>
      </c>
      <c r="W19">
        <v>299</v>
      </c>
      <c r="X19">
        <v>58528</v>
      </c>
      <c r="Y19" t="s">
        <v>310</v>
      </c>
    </row>
    <row r="20" spans="1:25" x14ac:dyDescent="0.25">
      <c r="A20">
        <v>19</v>
      </c>
      <c r="B20" t="s">
        <v>359</v>
      </c>
      <c r="C20" t="s">
        <v>43</v>
      </c>
      <c r="D20">
        <v>32</v>
      </c>
      <c r="E20" t="s">
        <v>302</v>
      </c>
      <c r="F20" t="s">
        <v>326</v>
      </c>
      <c r="G20" t="s">
        <v>304</v>
      </c>
      <c r="H20" t="s">
        <v>314</v>
      </c>
      <c r="I20" t="s">
        <v>360</v>
      </c>
      <c r="J20">
        <v>14</v>
      </c>
      <c r="K20">
        <v>49909</v>
      </c>
      <c r="L20">
        <v>4528</v>
      </c>
      <c r="M20">
        <v>0</v>
      </c>
      <c r="N20">
        <v>3</v>
      </c>
      <c r="O20">
        <v>4</v>
      </c>
      <c r="P20" t="s">
        <v>27</v>
      </c>
      <c r="Q20" t="s">
        <v>27</v>
      </c>
      <c r="R20" t="s">
        <v>324</v>
      </c>
      <c r="S20" t="s">
        <v>320</v>
      </c>
      <c r="T20" t="s">
        <v>336</v>
      </c>
      <c r="U20">
        <v>4</v>
      </c>
      <c r="V20">
        <v>27</v>
      </c>
      <c r="W20">
        <v>1955</v>
      </c>
      <c r="X20">
        <v>82447</v>
      </c>
      <c r="Y20" t="s">
        <v>310</v>
      </c>
    </row>
    <row r="21" spans="1:25" x14ac:dyDescent="0.25">
      <c r="A21">
        <v>20</v>
      </c>
      <c r="B21" t="s">
        <v>361</v>
      </c>
      <c r="C21" t="s">
        <v>43</v>
      </c>
      <c r="D21">
        <v>44</v>
      </c>
      <c r="E21" t="s">
        <v>302</v>
      </c>
      <c r="F21" t="s">
        <v>312</v>
      </c>
      <c r="G21" t="s">
        <v>313</v>
      </c>
      <c r="H21" t="s">
        <v>305</v>
      </c>
      <c r="I21" t="s">
        <v>362</v>
      </c>
      <c r="J21">
        <v>25</v>
      </c>
      <c r="K21">
        <v>36825</v>
      </c>
      <c r="L21">
        <v>4951</v>
      </c>
      <c r="M21">
        <v>17</v>
      </c>
      <c r="N21">
        <v>1</v>
      </c>
      <c r="O21">
        <v>4.7</v>
      </c>
      <c r="P21" t="s">
        <v>49</v>
      </c>
      <c r="Q21" t="s">
        <v>49</v>
      </c>
      <c r="R21" t="s">
        <v>324</v>
      </c>
      <c r="S21" t="s">
        <v>308</v>
      </c>
      <c r="T21" t="s">
        <v>336</v>
      </c>
      <c r="U21">
        <v>1</v>
      </c>
      <c r="V21">
        <v>22</v>
      </c>
      <c r="W21">
        <v>4901</v>
      </c>
      <c r="X21">
        <v>47001</v>
      </c>
      <c r="Y21" t="s">
        <v>310</v>
      </c>
    </row>
    <row r="22" spans="1:25" x14ac:dyDescent="0.25">
      <c r="A22">
        <v>21</v>
      </c>
      <c r="B22" t="s">
        <v>363</v>
      </c>
      <c r="C22" t="s">
        <v>30</v>
      </c>
      <c r="D22">
        <v>55</v>
      </c>
      <c r="E22" t="s">
        <v>318</v>
      </c>
      <c r="F22" t="s">
        <v>303</v>
      </c>
      <c r="G22" t="s">
        <v>304</v>
      </c>
      <c r="H22" t="s">
        <v>314</v>
      </c>
      <c r="I22" t="s">
        <v>364</v>
      </c>
      <c r="J22">
        <v>18</v>
      </c>
      <c r="K22">
        <v>37805</v>
      </c>
      <c r="L22">
        <v>3101</v>
      </c>
      <c r="M22">
        <v>19</v>
      </c>
      <c r="N22">
        <v>5</v>
      </c>
      <c r="O22">
        <v>4</v>
      </c>
      <c r="P22" t="s">
        <v>49</v>
      </c>
      <c r="Q22" t="s">
        <v>49</v>
      </c>
      <c r="R22" t="s">
        <v>307</v>
      </c>
      <c r="S22" t="s">
        <v>308</v>
      </c>
      <c r="T22" t="s">
        <v>328</v>
      </c>
      <c r="U22">
        <v>4</v>
      </c>
      <c r="V22">
        <v>25</v>
      </c>
      <c r="W22">
        <v>4693</v>
      </c>
      <c r="X22">
        <v>73051</v>
      </c>
      <c r="Y22" t="s">
        <v>310</v>
      </c>
    </row>
    <row r="23" spans="1:25" x14ac:dyDescent="0.25">
      <c r="A23">
        <v>22</v>
      </c>
      <c r="B23" t="s">
        <v>365</v>
      </c>
      <c r="C23" t="s">
        <v>30</v>
      </c>
      <c r="D23">
        <v>51</v>
      </c>
      <c r="E23" t="s">
        <v>302</v>
      </c>
      <c r="F23" t="s">
        <v>303</v>
      </c>
      <c r="G23" t="s">
        <v>313</v>
      </c>
      <c r="H23" t="s">
        <v>305</v>
      </c>
      <c r="I23" t="s">
        <v>366</v>
      </c>
      <c r="J23">
        <v>6</v>
      </c>
      <c r="K23">
        <v>50672</v>
      </c>
      <c r="L23">
        <v>4260</v>
      </c>
      <c r="M23">
        <v>16</v>
      </c>
      <c r="N23">
        <v>1</v>
      </c>
      <c r="O23">
        <v>5</v>
      </c>
      <c r="P23" t="s">
        <v>66</v>
      </c>
      <c r="Q23" t="s">
        <v>40</v>
      </c>
      <c r="R23" t="s">
        <v>324</v>
      </c>
      <c r="S23" t="s">
        <v>308</v>
      </c>
      <c r="T23" t="s">
        <v>341</v>
      </c>
      <c r="U23">
        <v>2</v>
      </c>
      <c r="V23">
        <v>19</v>
      </c>
      <c r="W23">
        <v>6173</v>
      </c>
      <c r="X23">
        <v>89419</v>
      </c>
      <c r="Y23" t="s">
        <v>310</v>
      </c>
    </row>
    <row r="24" spans="1:25" x14ac:dyDescent="0.25">
      <c r="A24">
        <v>23</v>
      </c>
      <c r="B24" t="s">
        <v>367</v>
      </c>
      <c r="C24" t="s">
        <v>43</v>
      </c>
      <c r="D24">
        <v>43</v>
      </c>
      <c r="E24" t="s">
        <v>302</v>
      </c>
      <c r="F24" t="s">
        <v>347</v>
      </c>
      <c r="G24" t="s">
        <v>313</v>
      </c>
      <c r="H24" t="s">
        <v>305</v>
      </c>
      <c r="I24" t="s">
        <v>368</v>
      </c>
      <c r="J24">
        <v>24</v>
      </c>
      <c r="K24">
        <v>80445</v>
      </c>
      <c r="L24">
        <v>3591</v>
      </c>
      <c r="M24">
        <v>12</v>
      </c>
      <c r="N24">
        <v>4</v>
      </c>
      <c r="O24">
        <v>4.7</v>
      </c>
      <c r="P24" t="s">
        <v>49</v>
      </c>
      <c r="Q24" t="s">
        <v>49</v>
      </c>
      <c r="R24" t="s">
        <v>307</v>
      </c>
      <c r="S24" t="s">
        <v>308</v>
      </c>
      <c r="T24" t="s">
        <v>336</v>
      </c>
      <c r="U24">
        <v>5</v>
      </c>
      <c r="V24">
        <v>16</v>
      </c>
      <c r="W24">
        <v>6085</v>
      </c>
      <c r="X24">
        <v>79993</v>
      </c>
      <c r="Y24" t="s">
        <v>310</v>
      </c>
    </row>
    <row r="25" spans="1:25" x14ac:dyDescent="0.25">
      <c r="A25">
        <v>24</v>
      </c>
      <c r="B25" t="s">
        <v>369</v>
      </c>
      <c r="C25" t="s">
        <v>43</v>
      </c>
      <c r="D25">
        <v>47</v>
      </c>
      <c r="E25" t="s">
        <v>318</v>
      </c>
      <c r="F25" t="s">
        <v>326</v>
      </c>
      <c r="G25" t="s">
        <v>304</v>
      </c>
      <c r="H25" t="s">
        <v>314</v>
      </c>
      <c r="I25" t="s">
        <v>370</v>
      </c>
      <c r="J25">
        <v>15</v>
      </c>
      <c r="K25">
        <v>58914</v>
      </c>
      <c r="L25">
        <v>4771</v>
      </c>
      <c r="M25">
        <v>14</v>
      </c>
      <c r="N25">
        <v>0</v>
      </c>
      <c r="O25">
        <v>4.8</v>
      </c>
      <c r="P25" t="s">
        <v>27</v>
      </c>
      <c r="Q25" t="s">
        <v>49</v>
      </c>
      <c r="R25" t="s">
        <v>324</v>
      </c>
      <c r="S25" t="s">
        <v>308</v>
      </c>
      <c r="T25" t="s">
        <v>328</v>
      </c>
      <c r="U25">
        <v>6</v>
      </c>
      <c r="V25">
        <v>17</v>
      </c>
      <c r="W25">
        <v>4057</v>
      </c>
      <c r="X25">
        <v>75256</v>
      </c>
      <c r="Y25" t="s">
        <v>310</v>
      </c>
    </row>
    <row r="26" spans="1:25" x14ac:dyDescent="0.25">
      <c r="A26">
        <v>25</v>
      </c>
      <c r="B26" t="s">
        <v>371</v>
      </c>
      <c r="C26" t="s">
        <v>43</v>
      </c>
      <c r="D26">
        <v>54</v>
      </c>
      <c r="E26" t="s">
        <v>302</v>
      </c>
      <c r="F26" t="s">
        <v>332</v>
      </c>
      <c r="G26" t="s">
        <v>304</v>
      </c>
      <c r="H26" t="s">
        <v>305</v>
      </c>
      <c r="I26" t="s">
        <v>372</v>
      </c>
      <c r="J26">
        <v>6</v>
      </c>
      <c r="K26">
        <v>46077</v>
      </c>
      <c r="L26">
        <v>5476</v>
      </c>
      <c r="M26">
        <v>17</v>
      </c>
      <c r="N26">
        <v>2</v>
      </c>
      <c r="O26">
        <v>3.7</v>
      </c>
      <c r="P26" t="s">
        <v>66</v>
      </c>
      <c r="Q26" t="s">
        <v>40</v>
      </c>
      <c r="R26" t="s">
        <v>324</v>
      </c>
      <c r="S26" t="s">
        <v>308</v>
      </c>
      <c r="T26" t="s">
        <v>341</v>
      </c>
      <c r="U26">
        <v>5</v>
      </c>
      <c r="V26">
        <v>30</v>
      </c>
      <c r="W26">
        <v>6144</v>
      </c>
      <c r="X26">
        <v>57269</v>
      </c>
      <c r="Y26" t="s">
        <v>310</v>
      </c>
    </row>
    <row r="27" spans="1:25" x14ac:dyDescent="0.25">
      <c r="A27">
        <v>26</v>
      </c>
      <c r="B27" t="s">
        <v>373</v>
      </c>
      <c r="C27" t="s">
        <v>30</v>
      </c>
      <c r="D27">
        <v>59</v>
      </c>
      <c r="E27" t="s">
        <v>318</v>
      </c>
      <c r="F27" t="s">
        <v>332</v>
      </c>
      <c r="G27" t="s">
        <v>304</v>
      </c>
      <c r="H27" t="s">
        <v>305</v>
      </c>
      <c r="I27" t="s">
        <v>374</v>
      </c>
      <c r="J27">
        <v>22</v>
      </c>
      <c r="K27">
        <v>38050</v>
      </c>
      <c r="L27">
        <v>2807</v>
      </c>
      <c r="M27">
        <v>8</v>
      </c>
      <c r="N27">
        <v>5</v>
      </c>
      <c r="O27">
        <v>4.8</v>
      </c>
      <c r="P27" t="s">
        <v>66</v>
      </c>
      <c r="Q27" t="s">
        <v>40</v>
      </c>
      <c r="R27" t="s">
        <v>324</v>
      </c>
      <c r="S27" t="s">
        <v>320</v>
      </c>
      <c r="T27" t="s">
        <v>341</v>
      </c>
      <c r="U27">
        <v>7</v>
      </c>
      <c r="V27">
        <v>21</v>
      </c>
      <c r="W27">
        <v>5308</v>
      </c>
      <c r="X27">
        <v>84925</v>
      </c>
      <c r="Y27" t="s">
        <v>310</v>
      </c>
    </row>
    <row r="28" spans="1:25" x14ac:dyDescent="0.25">
      <c r="A28">
        <v>27</v>
      </c>
      <c r="B28" t="s">
        <v>375</v>
      </c>
      <c r="C28" t="s">
        <v>30</v>
      </c>
      <c r="D28">
        <v>56</v>
      </c>
      <c r="E28" t="s">
        <v>302</v>
      </c>
      <c r="F28" t="s">
        <v>347</v>
      </c>
      <c r="G28" t="s">
        <v>313</v>
      </c>
      <c r="H28" t="s">
        <v>305</v>
      </c>
      <c r="I28" t="s">
        <v>376</v>
      </c>
      <c r="J28">
        <v>23</v>
      </c>
      <c r="K28">
        <v>37846</v>
      </c>
      <c r="L28">
        <v>6017</v>
      </c>
      <c r="M28">
        <v>1</v>
      </c>
      <c r="N28">
        <v>5</v>
      </c>
      <c r="O28">
        <v>3.9</v>
      </c>
      <c r="P28" t="s">
        <v>27</v>
      </c>
      <c r="Q28" t="s">
        <v>49</v>
      </c>
      <c r="R28" t="s">
        <v>324</v>
      </c>
      <c r="S28" t="s">
        <v>308</v>
      </c>
      <c r="T28" t="s">
        <v>341</v>
      </c>
      <c r="U28">
        <v>1</v>
      </c>
      <c r="V28">
        <v>18</v>
      </c>
      <c r="W28">
        <v>9623</v>
      </c>
      <c r="X28">
        <v>42585</v>
      </c>
      <c r="Y28" t="s">
        <v>310</v>
      </c>
    </row>
    <row r="29" spans="1:25" x14ac:dyDescent="0.25">
      <c r="A29">
        <v>28</v>
      </c>
      <c r="B29" t="s">
        <v>377</v>
      </c>
      <c r="C29" t="s">
        <v>43</v>
      </c>
      <c r="D29">
        <v>47</v>
      </c>
      <c r="E29" t="s">
        <v>302</v>
      </c>
      <c r="F29" t="s">
        <v>332</v>
      </c>
      <c r="G29" t="s">
        <v>304</v>
      </c>
      <c r="H29" t="s">
        <v>314</v>
      </c>
      <c r="I29" t="s">
        <v>378</v>
      </c>
      <c r="J29">
        <v>17</v>
      </c>
      <c r="K29">
        <v>73240</v>
      </c>
      <c r="L29">
        <v>2492</v>
      </c>
      <c r="M29">
        <v>11</v>
      </c>
      <c r="N29">
        <v>3</v>
      </c>
      <c r="O29">
        <v>4.7</v>
      </c>
      <c r="P29" t="s">
        <v>66</v>
      </c>
      <c r="Q29" t="s">
        <v>40</v>
      </c>
      <c r="R29" t="s">
        <v>307</v>
      </c>
      <c r="S29" t="s">
        <v>308</v>
      </c>
      <c r="T29" t="s">
        <v>328</v>
      </c>
      <c r="U29">
        <v>1</v>
      </c>
      <c r="V29">
        <v>28</v>
      </c>
      <c r="W29">
        <v>2473</v>
      </c>
      <c r="X29">
        <v>64020</v>
      </c>
      <c r="Y29" t="s">
        <v>310</v>
      </c>
    </row>
    <row r="30" spans="1:25" x14ac:dyDescent="0.25">
      <c r="A30">
        <v>29</v>
      </c>
      <c r="B30" t="s">
        <v>379</v>
      </c>
      <c r="C30" t="s">
        <v>43</v>
      </c>
      <c r="D30">
        <v>57</v>
      </c>
      <c r="E30" t="s">
        <v>302</v>
      </c>
      <c r="F30" t="s">
        <v>347</v>
      </c>
      <c r="G30" t="s">
        <v>304</v>
      </c>
      <c r="H30" t="s">
        <v>314</v>
      </c>
      <c r="I30" t="s">
        <v>380</v>
      </c>
      <c r="J30">
        <v>18</v>
      </c>
      <c r="K30">
        <v>74430</v>
      </c>
      <c r="L30">
        <v>2353</v>
      </c>
      <c r="M30">
        <v>4</v>
      </c>
      <c r="N30">
        <v>4</v>
      </c>
      <c r="O30">
        <v>4</v>
      </c>
      <c r="P30" t="s">
        <v>66</v>
      </c>
      <c r="Q30" t="s">
        <v>49</v>
      </c>
      <c r="R30" t="s">
        <v>307</v>
      </c>
      <c r="S30" t="s">
        <v>308</v>
      </c>
      <c r="T30" t="s">
        <v>309</v>
      </c>
      <c r="U30">
        <v>2</v>
      </c>
      <c r="V30">
        <v>25</v>
      </c>
      <c r="W30">
        <v>7364</v>
      </c>
      <c r="X30">
        <v>68573</v>
      </c>
      <c r="Y30" t="s">
        <v>310</v>
      </c>
    </row>
    <row r="31" spans="1:25" x14ac:dyDescent="0.25">
      <c r="A31">
        <v>30</v>
      </c>
      <c r="B31" t="s">
        <v>381</v>
      </c>
      <c r="C31" t="s">
        <v>43</v>
      </c>
      <c r="D31">
        <v>27</v>
      </c>
      <c r="E31" t="s">
        <v>302</v>
      </c>
      <c r="F31" t="s">
        <v>303</v>
      </c>
      <c r="G31" t="s">
        <v>313</v>
      </c>
      <c r="H31" t="s">
        <v>314</v>
      </c>
      <c r="I31" t="s">
        <v>382</v>
      </c>
      <c r="J31">
        <v>9</v>
      </c>
      <c r="K31">
        <v>35791</v>
      </c>
      <c r="L31">
        <v>6607</v>
      </c>
      <c r="M31">
        <v>10</v>
      </c>
      <c r="N31">
        <v>0</v>
      </c>
      <c r="O31">
        <v>4</v>
      </c>
      <c r="P31" t="s">
        <v>49</v>
      </c>
      <c r="Q31" t="s">
        <v>27</v>
      </c>
      <c r="R31" t="s">
        <v>307</v>
      </c>
      <c r="S31" t="s">
        <v>308</v>
      </c>
      <c r="T31" t="s">
        <v>383</v>
      </c>
      <c r="U31">
        <v>0</v>
      </c>
      <c r="V31">
        <v>29</v>
      </c>
      <c r="W31">
        <v>3601</v>
      </c>
      <c r="X31">
        <v>69664</v>
      </c>
      <c r="Y31" t="s">
        <v>310</v>
      </c>
    </row>
    <row r="32" spans="1:25" x14ac:dyDescent="0.25">
      <c r="A32">
        <v>31</v>
      </c>
      <c r="B32" t="s">
        <v>384</v>
      </c>
      <c r="C32" t="s">
        <v>30</v>
      </c>
      <c r="D32">
        <v>43</v>
      </c>
      <c r="E32" t="s">
        <v>302</v>
      </c>
      <c r="F32" t="s">
        <v>326</v>
      </c>
      <c r="G32" t="s">
        <v>304</v>
      </c>
      <c r="H32" t="s">
        <v>314</v>
      </c>
      <c r="I32" t="s">
        <v>385</v>
      </c>
      <c r="J32">
        <v>7</v>
      </c>
      <c r="K32">
        <v>41724</v>
      </c>
      <c r="L32">
        <v>4994</v>
      </c>
      <c r="M32">
        <v>18</v>
      </c>
      <c r="N32">
        <v>5</v>
      </c>
      <c r="O32">
        <v>4.7</v>
      </c>
      <c r="P32" t="s">
        <v>49</v>
      </c>
      <c r="Q32" t="s">
        <v>49</v>
      </c>
      <c r="R32" t="s">
        <v>307</v>
      </c>
      <c r="S32" t="s">
        <v>320</v>
      </c>
      <c r="T32" t="s">
        <v>336</v>
      </c>
      <c r="U32">
        <v>6</v>
      </c>
      <c r="V32">
        <v>27</v>
      </c>
      <c r="W32">
        <v>8429</v>
      </c>
      <c r="X32">
        <v>68833</v>
      </c>
      <c r="Y32" t="s">
        <v>310</v>
      </c>
    </row>
    <row r="33" spans="1:25" x14ac:dyDescent="0.25">
      <c r="A33">
        <v>32</v>
      </c>
      <c r="B33" t="s">
        <v>386</v>
      </c>
      <c r="C33" t="s">
        <v>30</v>
      </c>
      <c r="D33">
        <v>26</v>
      </c>
      <c r="E33" t="s">
        <v>318</v>
      </c>
      <c r="F33" t="s">
        <v>326</v>
      </c>
      <c r="G33" t="s">
        <v>313</v>
      </c>
      <c r="H33" t="s">
        <v>314</v>
      </c>
      <c r="I33" t="s">
        <v>387</v>
      </c>
      <c r="J33">
        <v>7</v>
      </c>
      <c r="K33">
        <v>55141</v>
      </c>
      <c r="L33">
        <v>2070</v>
      </c>
      <c r="M33">
        <v>9</v>
      </c>
      <c r="N33">
        <v>2</v>
      </c>
      <c r="O33">
        <v>4.5999999999999996</v>
      </c>
      <c r="P33" t="s">
        <v>49</v>
      </c>
      <c r="Q33" t="s">
        <v>27</v>
      </c>
      <c r="R33" t="s">
        <v>307</v>
      </c>
      <c r="S33" t="s">
        <v>320</v>
      </c>
      <c r="T33" t="s">
        <v>328</v>
      </c>
      <c r="U33">
        <v>0</v>
      </c>
      <c r="V33">
        <v>23</v>
      </c>
      <c r="W33">
        <v>6250</v>
      </c>
      <c r="X33">
        <v>73738</v>
      </c>
      <c r="Y33" t="s">
        <v>310</v>
      </c>
    </row>
    <row r="34" spans="1:25" x14ac:dyDescent="0.25">
      <c r="A34">
        <v>33</v>
      </c>
      <c r="B34" t="s">
        <v>388</v>
      </c>
      <c r="C34" t="s">
        <v>30</v>
      </c>
      <c r="D34">
        <v>58</v>
      </c>
      <c r="E34" t="s">
        <v>302</v>
      </c>
      <c r="F34" t="s">
        <v>312</v>
      </c>
      <c r="G34" t="s">
        <v>304</v>
      </c>
      <c r="H34" t="s">
        <v>305</v>
      </c>
      <c r="I34" t="s">
        <v>389</v>
      </c>
      <c r="J34">
        <v>2</v>
      </c>
      <c r="K34">
        <v>40911</v>
      </c>
      <c r="L34">
        <v>7071</v>
      </c>
      <c r="M34">
        <v>2</v>
      </c>
      <c r="N34">
        <v>1</v>
      </c>
      <c r="O34">
        <v>4.8</v>
      </c>
      <c r="P34" t="s">
        <v>49</v>
      </c>
      <c r="Q34" t="s">
        <v>27</v>
      </c>
      <c r="R34" t="s">
        <v>307</v>
      </c>
      <c r="S34" t="s">
        <v>308</v>
      </c>
      <c r="T34" t="s">
        <v>341</v>
      </c>
      <c r="U34">
        <v>6</v>
      </c>
      <c r="V34">
        <v>26</v>
      </c>
      <c r="W34">
        <v>2820</v>
      </c>
      <c r="X34">
        <v>74964</v>
      </c>
      <c r="Y34" t="s">
        <v>310</v>
      </c>
    </row>
    <row r="35" spans="1:25" x14ac:dyDescent="0.25">
      <c r="A35">
        <v>34</v>
      </c>
      <c r="B35" t="s">
        <v>390</v>
      </c>
      <c r="C35" t="s">
        <v>43</v>
      </c>
      <c r="D35">
        <v>22</v>
      </c>
      <c r="E35" t="s">
        <v>318</v>
      </c>
      <c r="F35" t="s">
        <v>347</v>
      </c>
      <c r="G35" t="s">
        <v>313</v>
      </c>
      <c r="H35" t="s">
        <v>305</v>
      </c>
      <c r="I35" t="s">
        <v>391</v>
      </c>
      <c r="J35">
        <v>10</v>
      </c>
      <c r="K35">
        <v>53117</v>
      </c>
      <c r="L35">
        <v>2236</v>
      </c>
      <c r="M35">
        <v>6</v>
      </c>
      <c r="N35">
        <v>0</v>
      </c>
      <c r="O35">
        <v>4.9000000000000004</v>
      </c>
      <c r="P35" t="s">
        <v>27</v>
      </c>
      <c r="Q35" t="s">
        <v>27</v>
      </c>
      <c r="R35" t="s">
        <v>307</v>
      </c>
      <c r="S35" t="s">
        <v>320</v>
      </c>
      <c r="T35" t="s">
        <v>316</v>
      </c>
      <c r="U35">
        <v>3</v>
      </c>
      <c r="V35">
        <v>29</v>
      </c>
      <c r="W35">
        <v>682</v>
      </c>
      <c r="X35">
        <v>65652</v>
      </c>
      <c r="Y35" t="s">
        <v>310</v>
      </c>
    </row>
    <row r="36" spans="1:25" x14ac:dyDescent="0.25">
      <c r="A36">
        <v>35</v>
      </c>
      <c r="B36" t="s">
        <v>392</v>
      </c>
      <c r="C36" t="s">
        <v>30</v>
      </c>
      <c r="D36">
        <v>31</v>
      </c>
      <c r="E36" t="s">
        <v>302</v>
      </c>
      <c r="F36" t="s">
        <v>326</v>
      </c>
      <c r="G36" t="s">
        <v>313</v>
      </c>
      <c r="H36" t="s">
        <v>314</v>
      </c>
      <c r="I36" t="s">
        <v>393</v>
      </c>
      <c r="J36">
        <v>15</v>
      </c>
      <c r="K36">
        <v>77718</v>
      </c>
      <c r="L36">
        <v>5868</v>
      </c>
      <c r="M36">
        <v>7</v>
      </c>
      <c r="N36">
        <v>1</v>
      </c>
      <c r="O36">
        <v>4.0999999999999996</v>
      </c>
      <c r="P36" t="s">
        <v>27</v>
      </c>
      <c r="Q36" t="s">
        <v>49</v>
      </c>
      <c r="R36" t="s">
        <v>324</v>
      </c>
      <c r="S36" t="s">
        <v>308</v>
      </c>
      <c r="T36" t="s">
        <v>309</v>
      </c>
      <c r="U36">
        <v>6</v>
      </c>
      <c r="V36">
        <v>21</v>
      </c>
      <c r="W36">
        <v>1038</v>
      </c>
      <c r="X36">
        <v>76626</v>
      </c>
      <c r="Y36" t="s">
        <v>310</v>
      </c>
    </row>
    <row r="37" spans="1:25" x14ac:dyDescent="0.25">
      <c r="A37">
        <v>36</v>
      </c>
      <c r="B37" t="s">
        <v>394</v>
      </c>
      <c r="C37" t="s">
        <v>43</v>
      </c>
      <c r="D37">
        <v>28</v>
      </c>
      <c r="E37" t="s">
        <v>302</v>
      </c>
      <c r="F37" t="s">
        <v>312</v>
      </c>
      <c r="G37" t="s">
        <v>313</v>
      </c>
      <c r="H37" t="s">
        <v>314</v>
      </c>
      <c r="I37" t="s">
        <v>395</v>
      </c>
      <c r="J37">
        <v>13</v>
      </c>
      <c r="K37">
        <v>76524</v>
      </c>
      <c r="L37">
        <v>6783</v>
      </c>
      <c r="M37">
        <v>1</v>
      </c>
      <c r="N37">
        <v>1</v>
      </c>
      <c r="O37">
        <v>5</v>
      </c>
      <c r="P37" t="s">
        <v>27</v>
      </c>
      <c r="Q37" t="s">
        <v>27</v>
      </c>
      <c r="R37" t="s">
        <v>307</v>
      </c>
      <c r="S37" t="s">
        <v>320</v>
      </c>
      <c r="T37" t="s">
        <v>321</v>
      </c>
      <c r="U37">
        <v>5</v>
      </c>
      <c r="V37">
        <v>17</v>
      </c>
      <c r="W37">
        <v>4886</v>
      </c>
      <c r="X37">
        <v>47215</v>
      </c>
      <c r="Y37" t="s">
        <v>310</v>
      </c>
    </row>
    <row r="38" spans="1:25" x14ac:dyDescent="0.25">
      <c r="A38">
        <v>37</v>
      </c>
      <c r="B38" t="s">
        <v>396</v>
      </c>
      <c r="C38" t="s">
        <v>30</v>
      </c>
      <c r="D38">
        <v>24</v>
      </c>
      <c r="E38" t="s">
        <v>302</v>
      </c>
      <c r="F38" t="s">
        <v>303</v>
      </c>
      <c r="G38" t="s">
        <v>304</v>
      </c>
      <c r="H38" t="s">
        <v>314</v>
      </c>
      <c r="I38" t="s">
        <v>397</v>
      </c>
      <c r="J38">
        <v>21</v>
      </c>
      <c r="K38">
        <v>62029</v>
      </c>
      <c r="L38">
        <v>4674</v>
      </c>
      <c r="M38">
        <v>17</v>
      </c>
      <c r="N38">
        <v>5</v>
      </c>
      <c r="O38">
        <v>3.7</v>
      </c>
      <c r="P38" t="s">
        <v>66</v>
      </c>
      <c r="Q38" t="s">
        <v>27</v>
      </c>
      <c r="R38" t="s">
        <v>324</v>
      </c>
      <c r="S38" t="s">
        <v>308</v>
      </c>
      <c r="T38" t="s">
        <v>328</v>
      </c>
      <c r="U38">
        <v>3</v>
      </c>
      <c r="V38">
        <v>29</v>
      </c>
      <c r="W38">
        <v>6012</v>
      </c>
      <c r="X38">
        <v>79603</v>
      </c>
      <c r="Y38" t="s">
        <v>310</v>
      </c>
    </row>
    <row r="39" spans="1:25" x14ac:dyDescent="0.25">
      <c r="A39">
        <v>38</v>
      </c>
      <c r="B39" t="s">
        <v>398</v>
      </c>
      <c r="C39" t="s">
        <v>30</v>
      </c>
      <c r="D39">
        <v>45</v>
      </c>
      <c r="E39" t="s">
        <v>302</v>
      </c>
      <c r="F39" t="s">
        <v>347</v>
      </c>
      <c r="G39" t="s">
        <v>313</v>
      </c>
      <c r="H39" t="s">
        <v>305</v>
      </c>
      <c r="I39" t="s">
        <v>399</v>
      </c>
      <c r="J39">
        <v>20</v>
      </c>
      <c r="K39">
        <v>48992</v>
      </c>
      <c r="L39">
        <v>7619</v>
      </c>
      <c r="M39">
        <v>13</v>
      </c>
      <c r="N39">
        <v>2</v>
      </c>
      <c r="O39">
        <v>4.7</v>
      </c>
      <c r="P39" t="s">
        <v>66</v>
      </c>
      <c r="Q39" t="s">
        <v>27</v>
      </c>
      <c r="R39" t="s">
        <v>307</v>
      </c>
      <c r="S39" t="s">
        <v>320</v>
      </c>
      <c r="T39" t="s">
        <v>336</v>
      </c>
      <c r="U39">
        <v>1</v>
      </c>
      <c r="V39">
        <v>17</v>
      </c>
      <c r="W39">
        <v>6152</v>
      </c>
      <c r="X39">
        <v>66222</v>
      </c>
      <c r="Y39" t="s">
        <v>310</v>
      </c>
    </row>
    <row r="40" spans="1:25" x14ac:dyDescent="0.25">
      <c r="A40">
        <v>39</v>
      </c>
      <c r="B40" t="s">
        <v>400</v>
      </c>
      <c r="C40" t="s">
        <v>30</v>
      </c>
      <c r="D40">
        <v>59</v>
      </c>
      <c r="E40" t="s">
        <v>302</v>
      </c>
      <c r="F40" t="s">
        <v>332</v>
      </c>
      <c r="G40" t="s">
        <v>313</v>
      </c>
      <c r="H40" t="s">
        <v>305</v>
      </c>
      <c r="I40" t="s">
        <v>401</v>
      </c>
      <c r="J40">
        <v>9</v>
      </c>
      <c r="K40">
        <v>72019</v>
      </c>
      <c r="L40">
        <v>5365</v>
      </c>
      <c r="M40">
        <v>20</v>
      </c>
      <c r="N40">
        <v>5</v>
      </c>
      <c r="O40">
        <v>4.8</v>
      </c>
      <c r="P40" t="s">
        <v>66</v>
      </c>
      <c r="Q40" t="s">
        <v>49</v>
      </c>
      <c r="R40" t="s">
        <v>307</v>
      </c>
      <c r="S40" t="s">
        <v>320</v>
      </c>
      <c r="T40" t="s">
        <v>336</v>
      </c>
      <c r="U40">
        <v>7</v>
      </c>
      <c r="V40">
        <v>22</v>
      </c>
      <c r="W40">
        <v>5664</v>
      </c>
      <c r="X40">
        <v>72877</v>
      </c>
      <c r="Y40" t="s">
        <v>310</v>
      </c>
    </row>
    <row r="41" spans="1:25" x14ac:dyDescent="0.25">
      <c r="A41">
        <v>40</v>
      </c>
      <c r="B41" t="s">
        <v>402</v>
      </c>
      <c r="C41" t="s">
        <v>30</v>
      </c>
      <c r="D41">
        <v>36</v>
      </c>
      <c r="E41" t="s">
        <v>302</v>
      </c>
      <c r="F41" t="s">
        <v>312</v>
      </c>
      <c r="G41" t="s">
        <v>313</v>
      </c>
      <c r="H41" t="s">
        <v>314</v>
      </c>
      <c r="I41" t="s">
        <v>403</v>
      </c>
      <c r="J41">
        <v>1</v>
      </c>
      <c r="K41">
        <v>84122</v>
      </c>
      <c r="L41">
        <v>6759</v>
      </c>
      <c r="M41">
        <v>11</v>
      </c>
      <c r="N41">
        <v>5</v>
      </c>
      <c r="O41">
        <v>4.0999999999999996</v>
      </c>
      <c r="P41" t="s">
        <v>27</v>
      </c>
      <c r="Q41" t="s">
        <v>40</v>
      </c>
      <c r="R41" t="s">
        <v>324</v>
      </c>
      <c r="S41" t="s">
        <v>308</v>
      </c>
      <c r="T41" t="s">
        <v>404</v>
      </c>
      <c r="U41">
        <v>1</v>
      </c>
      <c r="V41">
        <v>25</v>
      </c>
      <c r="W41">
        <v>3360</v>
      </c>
      <c r="X41">
        <v>75992</v>
      </c>
      <c r="Y41" t="s">
        <v>310</v>
      </c>
    </row>
    <row r="42" spans="1:25" x14ac:dyDescent="0.25">
      <c r="A42">
        <v>41</v>
      </c>
      <c r="B42" t="s">
        <v>405</v>
      </c>
      <c r="C42" t="s">
        <v>30</v>
      </c>
      <c r="D42">
        <v>42</v>
      </c>
      <c r="E42" t="s">
        <v>318</v>
      </c>
      <c r="F42" t="s">
        <v>332</v>
      </c>
      <c r="G42" t="s">
        <v>304</v>
      </c>
      <c r="H42" t="s">
        <v>305</v>
      </c>
      <c r="I42" t="s">
        <v>406</v>
      </c>
      <c r="J42">
        <v>17</v>
      </c>
      <c r="K42">
        <v>86696</v>
      </c>
      <c r="L42">
        <v>7022</v>
      </c>
      <c r="M42">
        <v>11</v>
      </c>
      <c r="N42">
        <v>2</v>
      </c>
      <c r="O42">
        <v>4</v>
      </c>
      <c r="P42" t="s">
        <v>49</v>
      </c>
      <c r="Q42" t="s">
        <v>40</v>
      </c>
      <c r="R42" t="s">
        <v>307</v>
      </c>
      <c r="S42" t="s">
        <v>308</v>
      </c>
      <c r="T42" t="s">
        <v>336</v>
      </c>
      <c r="U42">
        <v>4</v>
      </c>
      <c r="V42">
        <v>18</v>
      </c>
      <c r="W42">
        <v>4075</v>
      </c>
      <c r="X42">
        <v>93849</v>
      </c>
      <c r="Y42" t="s">
        <v>310</v>
      </c>
    </row>
    <row r="43" spans="1:25" x14ac:dyDescent="0.25">
      <c r="A43">
        <v>42</v>
      </c>
      <c r="B43" t="s">
        <v>407</v>
      </c>
      <c r="C43" t="s">
        <v>43</v>
      </c>
      <c r="D43">
        <v>31</v>
      </c>
      <c r="E43" t="s">
        <v>302</v>
      </c>
      <c r="F43" t="s">
        <v>347</v>
      </c>
      <c r="G43" t="s">
        <v>313</v>
      </c>
      <c r="H43" t="s">
        <v>305</v>
      </c>
      <c r="I43" t="s">
        <v>408</v>
      </c>
      <c r="J43">
        <v>2</v>
      </c>
      <c r="K43">
        <v>61582</v>
      </c>
      <c r="L43">
        <v>4731</v>
      </c>
      <c r="M43">
        <v>19</v>
      </c>
      <c r="N43">
        <v>2</v>
      </c>
      <c r="O43">
        <v>5</v>
      </c>
      <c r="P43" t="s">
        <v>66</v>
      </c>
      <c r="Q43" t="s">
        <v>49</v>
      </c>
      <c r="R43" t="s">
        <v>307</v>
      </c>
      <c r="S43" t="s">
        <v>320</v>
      </c>
      <c r="T43" t="s">
        <v>328</v>
      </c>
      <c r="U43">
        <v>0</v>
      </c>
      <c r="V43">
        <v>21</v>
      </c>
      <c r="W43">
        <v>939</v>
      </c>
      <c r="X43">
        <v>90070</v>
      </c>
      <c r="Y43" t="s">
        <v>310</v>
      </c>
    </row>
    <row r="44" spans="1:25" x14ac:dyDescent="0.25">
      <c r="A44">
        <v>43</v>
      </c>
      <c r="B44" t="s">
        <v>409</v>
      </c>
      <c r="C44" t="s">
        <v>43</v>
      </c>
      <c r="D44">
        <v>33</v>
      </c>
      <c r="E44" t="s">
        <v>302</v>
      </c>
      <c r="F44" t="s">
        <v>312</v>
      </c>
      <c r="G44" t="s">
        <v>304</v>
      </c>
      <c r="H44" t="s">
        <v>305</v>
      </c>
      <c r="I44" t="s">
        <v>410</v>
      </c>
      <c r="J44">
        <v>7</v>
      </c>
      <c r="K44">
        <v>46515</v>
      </c>
      <c r="L44">
        <v>7338</v>
      </c>
      <c r="M44">
        <v>19</v>
      </c>
      <c r="N44">
        <v>2</v>
      </c>
      <c r="O44">
        <v>3.9</v>
      </c>
      <c r="P44" t="s">
        <v>27</v>
      </c>
      <c r="Q44" t="s">
        <v>27</v>
      </c>
      <c r="R44" t="s">
        <v>324</v>
      </c>
      <c r="S44" t="s">
        <v>308</v>
      </c>
      <c r="T44" t="s">
        <v>316</v>
      </c>
      <c r="U44">
        <v>3</v>
      </c>
      <c r="V44">
        <v>20</v>
      </c>
      <c r="W44">
        <v>2029</v>
      </c>
      <c r="X44">
        <v>66453</v>
      </c>
      <c r="Y44" t="s">
        <v>310</v>
      </c>
    </row>
    <row r="45" spans="1:25" x14ac:dyDescent="0.25">
      <c r="A45">
        <v>44</v>
      </c>
      <c r="B45" t="s">
        <v>411</v>
      </c>
      <c r="C45" t="s">
        <v>43</v>
      </c>
      <c r="D45">
        <v>39</v>
      </c>
      <c r="E45" t="s">
        <v>302</v>
      </c>
      <c r="F45" t="s">
        <v>303</v>
      </c>
      <c r="G45" t="s">
        <v>313</v>
      </c>
      <c r="H45" t="s">
        <v>305</v>
      </c>
      <c r="I45" t="s">
        <v>412</v>
      </c>
      <c r="J45">
        <v>13</v>
      </c>
      <c r="K45">
        <v>36537</v>
      </c>
      <c r="L45">
        <v>6622</v>
      </c>
      <c r="M45">
        <v>12</v>
      </c>
      <c r="N45">
        <v>3</v>
      </c>
      <c r="O45">
        <v>3.9</v>
      </c>
      <c r="P45" t="s">
        <v>27</v>
      </c>
      <c r="Q45" t="s">
        <v>49</v>
      </c>
      <c r="R45" t="s">
        <v>307</v>
      </c>
      <c r="S45" t="s">
        <v>320</v>
      </c>
      <c r="T45" t="s">
        <v>309</v>
      </c>
      <c r="U45">
        <v>5</v>
      </c>
      <c r="V45">
        <v>24</v>
      </c>
      <c r="W45">
        <v>3714</v>
      </c>
      <c r="X45">
        <v>81020</v>
      </c>
      <c r="Y45" t="s">
        <v>310</v>
      </c>
    </row>
    <row r="46" spans="1:25" x14ac:dyDescent="0.25">
      <c r="A46">
        <v>45</v>
      </c>
      <c r="B46" t="s">
        <v>413</v>
      </c>
      <c r="C46" t="s">
        <v>43</v>
      </c>
      <c r="D46">
        <v>41</v>
      </c>
      <c r="E46" t="s">
        <v>318</v>
      </c>
      <c r="F46" t="s">
        <v>312</v>
      </c>
      <c r="G46" t="s">
        <v>304</v>
      </c>
      <c r="H46" t="s">
        <v>305</v>
      </c>
      <c r="I46" t="s">
        <v>414</v>
      </c>
      <c r="J46">
        <v>24</v>
      </c>
      <c r="K46">
        <v>63574</v>
      </c>
      <c r="L46">
        <v>6815</v>
      </c>
      <c r="M46">
        <v>5</v>
      </c>
      <c r="N46">
        <v>4</v>
      </c>
      <c r="O46">
        <v>4.0999999999999996</v>
      </c>
      <c r="P46" t="s">
        <v>49</v>
      </c>
      <c r="Q46" t="s">
        <v>40</v>
      </c>
      <c r="R46" t="s">
        <v>307</v>
      </c>
      <c r="S46" t="s">
        <v>320</v>
      </c>
      <c r="T46" t="s">
        <v>404</v>
      </c>
      <c r="U46">
        <v>3</v>
      </c>
      <c r="V46">
        <v>15</v>
      </c>
      <c r="W46">
        <v>5802</v>
      </c>
      <c r="X46">
        <v>64398</v>
      </c>
      <c r="Y46" t="s">
        <v>310</v>
      </c>
    </row>
    <row r="47" spans="1:25" x14ac:dyDescent="0.25">
      <c r="A47">
        <v>46</v>
      </c>
      <c r="B47" t="s">
        <v>415</v>
      </c>
      <c r="C47" t="s">
        <v>30</v>
      </c>
      <c r="D47">
        <v>29</v>
      </c>
      <c r="E47" t="s">
        <v>318</v>
      </c>
      <c r="F47" t="s">
        <v>347</v>
      </c>
      <c r="G47" t="s">
        <v>313</v>
      </c>
      <c r="H47" t="s">
        <v>305</v>
      </c>
      <c r="I47" t="s">
        <v>416</v>
      </c>
      <c r="J47">
        <v>5</v>
      </c>
      <c r="K47">
        <v>55297</v>
      </c>
      <c r="L47">
        <v>2612</v>
      </c>
      <c r="M47">
        <v>18</v>
      </c>
      <c r="N47">
        <v>5</v>
      </c>
      <c r="O47">
        <v>4.2</v>
      </c>
      <c r="P47" t="s">
        <v>27</v>
      </c>
      <c r="Q47" t="s">
        <v>27</v>
      </c>
      <c r="R47" t="s">
        <v>307</v>
      </c>
      <c r="S47" t="s">
        <v>308</v>
      </c>
      <c r="T47" t="s">
        <v>341</v>
      </c>
      <c r="U47">
        <v>7</v>
      </c>
      <c r="V47">
        <v>30</v>
      </c>
      <c r="W47">
        <v>3974</v>
      </c>
      <c r="X47">
        <v>62393</v>
      </c>
      <c r="Y47" t="s">
        <v>310</v>
      </c>
    </row>
    <row r="48" spans="1:25" x14ac:dyDescent="0.25">
      <c r="A48">
        <v>47</v>
      </c>
      <c r="B48" t="s">
        <v>417</v>
      </c>
      <c r="C48" t="s">
        <v>30</v>
      </c>
      <c r="D48">
        <v>47</v>
      </c>
      <c r="E48" t="s">
        <v>302</v>
      </c>
      <c r="F48" t="s">
        <v>303</v>
      </c>
      <c r="G48" t="s">
        <v>313</v>
      </c>
      <c r="H48" t="s">
        <v>314</v>
      </c>
      <c r="I48" t="s">
        <v>418</v>
      </c>
      <c r="J48">
        <v>7</v>
      </c>
      <c r="K48">
        <v>38027</v>
      </c>
      <c r="L48">
        <v>5190</v>
      </c>
      <c r="M48">
        <v>13</v>
      </c>
      <c r="N48">
        <v>0</v>
      </c>
      <c r="O48">
        <v>3.9</v>
      </c>
      <c r="P48" t="s">
        <v>49</v>
      </c>
      <c r="Q48" t="s">
        <v>49</v>
      </c>
      <c r="R48" t="s">
        <v>307</v>
      </c>
      <c r="S48" t="s">
        <v>320</v>
      </c>
      <c r="T48" t="s">
        <v>309</v>
      </c>
      <c r="U48">
        <v>2</v>
      </c>
      <c r="V48">
        <v>20</v>
      </c>
      <c r="W48">
        <v>1542</v>
      </c>
      <c r="X48">
        <v>99752</v>
      </c>
      <c r="Y48" t="s">
        <v>310</v>
      </c>
    </row>
    <row r="49" spans="1:25" x14ac:dyDescent="0.25">
      <c r="A49">
        <v>48</v>
      </c>
      <c r="B49" t="s">
        <v>419</v>
      </c>
      <c r="C49" t="s">
        <v>30</v>
      </c>
      <c r="D49">
        <v>39</v>
      </c>
      <c r="E49" t="s">
        <v>302</v>
      </c>
      <c r="F49" t="s">
        <v>347</v>
      </c>
      <c r="G49" t="s">
        <v>313</v>
      </c>
      <c r="H49" t="s">
        <v>305</v>
      </c>
      <c r="I49" t="s">
        <v>420</v>
      </c>
      <c r="J49">
        <v>1</v>
      </c>
      <c r="K49">
        <v>48297</v>
      </c>
      <c r="L49">
        <v>2607</v>
      </c>
      <c r="M49">
        <v>8</v>
      </c>
      <c r="N49">
        <v>1</v>
      </c>
      <c r="O49">
        <v>4.9000000000000004</v>
      </c>
      <c r="P49" t="s">
        <v>27</v>
      </c>
      <c r="Q49" t="s">
        <v>27</v>
      </c>
      <c r="R49" t="s">
        <v>324</v>
      </c>
      <c r="S49" t="s">
        <v>308</v>
      </c>
      <c r="T49" t="s">
        <v>309</v>
      </c>
      <c r="U49">
        <v>8</v>
      </c>
      <c r="V49">
        <v>26</v>
      </c>
      <c r="W49">
        <v>7513</v>
      </c>
      <c r="X49">
        <v>92900</v>
      </c>
      <c r="Y49" t="s">
        <v>310</v>
      </c>
    </row>
    <row r="50" spans="1:25" x14ac:dyDescent="0.25">
      <c r="A50">
        <v>49</v>
      </c>
      <c r="B50" t="s">
        <v>421</v>
      </c>
      <c r="C50" t="s">
        <v>30</v>
      </c>
      <c r="D50">
        <v>38</v>
      </c>
      <c r="E50" t="s">
        <v>318</v>
      </c>
      <c r="F50" t="s">
        <v>312</v>
      </c>
      <c r="G50" t="s">
        <v>304</v>
      </c>
      <c r="H50" t="s">
        <v>305</v>
      </c>
      <c r="I50" t="s">
        <v>422</v>
      </c>
      <c r="J50">
        <v>11</v>
      </c>
      <c r="K50">
        <v>63949</v>
      </c>
      <c r="L50">
        <v>4424</v>
      </c>
      <c r="M50">
        <v>3</v>
      </c>
      <c r="N50">
        <v>1</v>
      </c>
      <c r="O50">
        <v>4.8</v>
      </c>
      <c r="P50" t="s">
        <v>49</v>
      </c>
      <c r="Q50" t="s">
        <v>49</v>
      </c>
      <c r="R50" t="s">
        <v>324</v>
      </c>
      <c r="S50" t="s">
        <v>320</v>
      </c>
      <c r="T50" t="s">
        <v>404</v>
      </c>
      <c r="U50">
        <v>5</v>
      </c>
      <c r="V50">
        <v>24</v>
      </c>
      <c r="W50">
        <v>198</v>
      </c>
      <c r="X50">
        <v>72830</v>
      </c>
      <c r="Y50" t="s">
        <v>310</v>
      </c>
    </row>
    <row r="51" spans="1:25" x14ac:dyDescent="0.25">
      <c r="A51">
        <v>50</v>
      </c>
      <c r="B51" t="s">
        <v>423</v>
      </c>
      <c r="C51" t="s">
        <v>30</v>
      </c>
      <c r="D51">
        <v>51</v>
      </c>
      <c r="E51" t="s">
        <v>302</v>
      </c>
      <c r="F51" t="s">
        <v>312</v>
      </c>
      <c r="G51" t="s">
        <v>304</v>
      </c>
      <c r="H51" t="s">
        <v>305</v>
      </c>
      <c r="I51" t="s">
        <v>424</v>
      </c>
      <c r="J51">
        <v>2</v>
      </c>
      <c r="K51">
        <v>47406</v>
      </c>
      <c r="L51">
        <v>4020</v>
      </c>
      <c r="M51">
        <v>4</v>
      </c>
      <c r="N51">
        <v>1</v>
      </c>
      <c r="O51">
        <v>4.2</v>
      </c>
      <c r="P51" t="s">
        <v>66</v>
      </c>
      <c r="Q51" t="s">
        <v>40</v>
      </c>
      <c r="R51" t="s">
        <v>324</v>
      </c>
      <c r="S51" t="s">
        <v>308</v>
      </c>
      <c r="T51" t="s">
        <v>316</v>
      </c>
      <c r="U51">
        <v>6</v>
      </c>
      <c r="V51">
        <v>25</v>
      </c>
      <c r="W51">
        <v>6947</v>
      </c>
      <c r="X51">
        <v>65857</v>
      </c>
      <c r="Y51" t="s">
        <v>310</v>
      </c>
    </row>
    <row r="52" spans="1:25" x14ac:dyDescent="0.25">
      <c r="A52">
        <v>51</v>
      </c>
      <c r="B52" t="s">
        <v>425</v>
      </c>
      <c r="C52" t="s">
        <v>30</v>
      </c>
      <c r="D52">
        <v>52</v>
      </c>
      <c r="E52" t="s">
        <v>318</v>
      </c>
      <c r="F52" t="s">
        <v>332</v>
      </c>
      <c r="G52" t="s">
        <v>313</v>
      </c>
      <c r="H52" t="s">
        <v>314</v>
      </c>
      <c r="I52" t="s">
        <v>426</v>
      </c>
      <c r="J52">
        <v>6</v>
      </c>
      <c r="K52">
        <v>43295</v>
      </c>
      <c r="L52">
        <v>2032</v>
      </c>
      <c r="M52">
        <v>18</v>
      </c>
      <c r="N52">
        <v>4</v>
      </c>
      <c r="O52">
        <v>4</v>
      </c>
      <c r="P52" t="s">
        <v>27</v>
      </c>
      <c r="Q52" t="s">
        <v>49</v>
      </c>
      <c r="R52" t="s">
        <v>307</v>
      </c>
      <c r="S52" t="s">
        <v>320</v>
      </c>
      <c r="T52" t="s">
        <v>341</v>
      </c>
      <c r="U52">
        <v>5</v>
      </c>
      <c r="V52">
        <v>20</v>
      </c>
      <c r="W52">
        <v>3884</v>
      </c>
      <c r="X52">
        <v>48592</v>
      </c>
      <c r="Y52" t="s">
        <v>310</v>
      </c>
    </row>
    <row r="53" spans="1:25" x14ac:dyDescent="0.25">
      <c r="A53">
        <v>52</v>
      </c>
      <c r="B53" t="s">
        <v>427</v>
      </c>
      <c r="C53" t="s">
        <v>43</v>
      </c>
      <c r="D53">
        <v>47</v>
      </c>
      <c r="E53" t="s">
        <v>318</v>
      </c>
      <c r="F53" t="s">
        <v>312</v>
      </c>
      <c r="G53" t="s">
        <v>304</v>
      </c>
      <c r="H53" t="s">
        <v>314</v>
      </c>
      <c r="I53" t="s">
        <v>428</v>
      </c>
      <c r="J53">
        <v>10</v>
      </c>
      <c r="K53">
        <v>86578</v>
      </c>
      <c r="L53">
        <v>2808</v>
      </c>
      <c r="M53">
        <v>2</v>
      </c>
      <c r="N53">
        <v>2</v>
      </c>
      <c r="O53">
        <v>4.2</v>
      </c>
      <c r="P53" t="s">
        <v>49</v>
      </c>
      <c r="Q53" t="s">
        <v>49</v>
      </c>
      <c r="R53" t="s">
        <v>324</v>
      </c>
      <c r="S53" t="s">
        <v>308</v>
      </c>
      <c r="T53" t="s">
        <v>341</v>
      </c>
      <c r="U53">
        <v>7</v>
      </c>
      <c r="V53">
        <v>29</v>
      </c>
      <c r="W53">
        <v>2868</v>
      </c>
      <c r="X53">
        <v>64024</v>
      </c>
      <c r="Y53" t="s">
        <v>310</v>
      </c>
    </row>
    <row r="54" spans="1:25" x14ac:dyDescent="0.25">
      <c r="A54">
        <v>53</v>
      </c>
      <c r="B54" t="s">
        <v>429</v>
      </c>
      <c r="C54" t="s">
        <v>30</v>
      </c>
      <c r="D54">
        <v>52</v>
      </c>
      <c r="E54" t="s">
        <v>302</v>
      </c>
      <c r="F54" t="s">
        <v>332</v>
      </c>
      <c r="G54" t="s">
        <v>313</v>
      </c>
      <c r="H54" t="s">
        <v>314</v>
      </c>
      <c r="I54" t="s">
        <v>430</v>
      </c>
      <c r="J54">
        <v>7</v>
      </c>
      <c r="K54">
        <v>52505</v>
      </c>
      <c r="L54">
        <v>3572</v>
      </c>
      <c r="M54">
        <v>3</v>
      </c>
      <c r="N54">
        <v>2</v>
      </c>
      <c r="O54">
        <v>4.5999999999999996</v>
      </c>
      <c r="P54" t="s">
        <v>66</v>
      </c>
      <c r="Q54" t="s">
        <v>40</v>
      </c>
      <c r="R54" t="s">
        <v>307</v>
      </c>
      <c r="S54" t="s">
        <v>320</v>
      </c>
      <c r="T54" t="s">
        <v>309</v>
      </c>
      <c r="U54">
        <v>0</v>
      </c>
      <c r="V54">
        <v>27</v>
      </c>
      <c r="W54">
        <v>2698</v>
      </c>
      <c r="X54">
        <v>42253</v>
      </c>
      <c r="Y54" t="s">
        <v>310</v>
      </c>
    </row>
    <row r="55" spans="1:25" x14ac:dyDescent="0.25">
      <c r="A55">
        <v>54</v>
      </c>
      <c r="B55" t="s">
        <v>431</v>
      </c>
      <c r="C55" t="s">
        <v>43</v>
      </c>
      <c r="D55">
        <v>22</v>
      </c>
      <c r="E55" t="s">
        <v>302</v>
      </c>
      <c r="F55" t="s">
        <v>347</v>
      </c>
      <c r="G55" t="s">
        <v>313</v>
      </c>
      <c r="H55" t="s">
        <v>314</v>
      </c>
      <c r="I55" t="s">
        <v>432</v>
      </c>
      <c r="J55">
        <v>6</v>
      </c>
      <c r="K55">
        <v>72093</v>
      </c>
      <c r="L55">
        <v>3670</v>
      </c>
      <c r="M55">
        <v>11</v>
      </c>
      <c r="N55">
        <v>2</v>
      </c>
      <c r="O55">
        <v>3.7</v>
      </c>
      <c r="P55" t="s">
        <v>49</v>
      </c>
      <c r="Q55" t="s">
        <v>27</v>
      </c>
      <c r="R55" t="s">
        <v>324</v>
      </c>
      <c r="S55" t="s">
        <v>320</v>
      </c>
      <c r="T55" t="s">
        <v>383</v>
      </c>
      <c r="U55">
        <v>4</v>
      </c>
      <c r="V55">
        <v>20</v>
      </c>
      <c r="W55">
        <v>5324</v>
      </c>
      <c r="X55">
        <v>45885</v>
      </c>
      <c r="Y55" t="s">
        <v>310</v>
      </c>
    </row>
    <row r="56" spans="1:25" x14ac:dyDescent="0.25">
      <c r="A56">
        <v>55</v>
      </c>
      <c r="B56" t="s">
        <v>433</v>
      </c>
      <c r="C56" t="s">
        <v>30</v>
      </c>
      <c r="D56">
        <v>39</v>
      </c>
      <c r="E56" t="s">
        <v>318</v>
      </c>
      <c r="F56" t="s">
        <v>312</v>
      </c>
      <c r="G56" t="s">
        <v>313</v>
      </c>
      <c r="H56" t="s">
        <v>305</v>
      </c>
      <c r="I56" t="s">
        <v>434</v>
      </c>
      <c r="J56">
        <v>1</v>
      </c>
      <c r="K56">
        <v>73433</v>
      </c>
      <c r="L56">
        <v>6783</v>
      </c>
      <c r="M56">
        <v>18</v>
      </c>
      <c r="N56">
        <v>3</v>
      </c>
      <c r="O56">
        <v>4.8</v>
      </c>
      <c r="P56" t="s">
        <v>49</v>
      </c>
      <c r="Q56" t="s">
        <v>40</v>
      </c>
      <c r="R56" t="s">
        <v>324</v>
      </c>
      <c r="S56" t="s">
        <v>320</v>
      </c>
      <c r="T56" t="s">
        <v>336</v>
      </c>
      <c r="U56">
        <v>3</v>
      </c>
      <c r="V56">
        <v>18</v>
      </c>
      <c r="W56">
        <v>4327</v>
      </c>
      <c r="X56">
        <v>85042</v>
      </c>
      <c r="Y56" t="s">
        <v>310</v>
      </c>
    </row>
    <row r="57" spans="1:25" x14ac:dyDescent="0.25">
      <c r="A57">
        <v>56</v>
      </c>
      <c r="B57" t="s">
        <v>435</v>
      </c>
      <c r="C57" t="s">
        <v>30</v>
      </c>
      <c r="D57">
        <v>28</v>
      </c>
      <c r="E57" t="s">
        <v>302</v>
      </c>
      <c r="F57" t="s">
        <v>332</v>
      </c>
      <c r="G57" t="s">
        <v>304</v>
      </c>
      <c r="H57" t="s">
        <v>314</v>
      </c>
      <c r="I57" t="s">
        <v>436</v>
      </c>
      <c r="J57">
        <v>25</v>
      </c>
      <c r="K57">
        <v>83940</v>
      </c>
      <c r="L57">
        <v>7838</v>
      </c>
      <c r="M57">
        <v>12</v>
      </c>
      <c r="N57">
        <v>5</v>
      </c>
      <c r="O57">
        <v>4.0999999999999996</v>
      </c>
      <c r="P57" t="s">
        <v>27</v>
      </c>
      <c r="Q57" t="s">
        <v>40</v>
      </c>
      <c r="R57" t="s">
        <v>307</v>
      </c>
      <c r="S57" t="s">
        <v>308</v>
      </c>
      <c r="T57" t="s">
        <v>336</v>
      </c>
      <c r="U57">
        <v>8</v>
      </c>
      <c r="V57">
        <v>15</v>
      </c>
      <c r="W57">
        <v>1765</v>
      </c>
      <c r="X57">
        <v>98981</v>
      </c>
      <c r="Y57" t="s">
        <v>310</v>
      </c>
    </row>
    <row r="58" spans="1:25" x14ac:dyDescent="0.25">
      <c r="A58">
        <v>57</v>
      </c>
      <c r="B58" t="s">
        <v>437</v>
      </c>
      <c r="C58" t="s">
        <v>30</v>
      </c>
      <c r="D58">
        <v>57</v>
      </c>
      <c r="E58" t="s">
        <v>302</v>
      </c>
      <c r="F58" t="s">
        <v>326</v>
      </c>
      <c r="G58" t="s">
        <v>304</v>
      </c>
      <c r="H58" t="s">
        <v>314</v>
      </c>
      <c r="I58" t="s">
        <v>438</v>
      </c>
      <c r="J58">
        <v>6</v>
      </c>
      <c r="K58">
        <v>44067</v>
      </c>
      <c r="L58">
        <v>7595</v>
      </c>
      <c r="M58">
        <v>1</v>
      </c>
      <c r="N58">
        <v>5</v>
      </c>
      <c r="O58">
        <v>3.6</v>
      </c>
      <c r="P58" t="s">
        <v>66</v>
      </c>
      <c r="Q58" t="s">
        <v>40</v>
      </c>
      <c r="R58" t="s">
        <v>307</v>
      </c>
      <c r="S58" t="s">
        <v>308</v>
      </c>
      <c r="T58" t="s">
        <v>336</v>
      </c>
      <c r="U58">
        <v>6</v>
      </c>
      <c r="V58">
        <v>21</v>
      </c>
      <c r="W58">
        <v>6429</v>
      </c>
      <c r="X58">
        <v>84563</v>
      </c>
      <c r="Y58" t="s">
        <v>310</v>
      </c>
    </row>
    <row r="59" spans="1:25" x14ac:dyDescent="0.25">
      <c r="A59">
        <v>58</v>
      </c>
      <c r="B59" t="s">
        <v>439</v>
      </c>
      <c r="C59" t="s">
        <v>30</v>
      </c>
      <c r="D59">
        <v>27</v>
      </c>
      <c r="E59" t="s">
        <v>318</v>
      </c>
      <c r="F59" t="s">
        <v>312</v>
      </c>
      <c r="G59" t="s">
        <v>304</v>
      </c>
      <c r="H59" t="s">
        <v>314</v>
      </c>
      <c r="I59" t="s">
        <v>440</v>
      </c>
      <c r="J59">
        <v>12</v>
      </c>
      <c r="K59">
        <v>75150</v>
      </c>
      <c r="L59">
        <v>5973</v>
      </c>
      <c r="M59">
        <v>5</v>
      </c>
      <c r="N59">
        <v>2</v>
      </c>
      <c r="O59">
        <v>4.0999999999999996</v>
      </c>
      <c r="P59" t="s">
        <v>66</v>
      </c>
      <c r="Q59" t="s">
        <v>27</v>
      </c>
      <c r="R59" t="s">
        <v>307</v>
      </c>
      <c r="S59" t="s">
        <v>308</v>
      </c>
      <c r="T59" t="s">
        <v>328</v>
      </c>
      <c r="U59">
        <v>4</v>
      </c>
      <c r="V59">
        <v>26</v>
      </c>
      <c r="W59">
        <v>9488</v>
      </c>
      <c r="X59">
        <v>54260</v>
      </c>
      <c r="Y59" t="s">
        <v>310</v>
      </c>
    </row>
    <row r="60" spans="1:25" x14ac:dyDescent="0.25">
      <c r="A60">
        <v>59</v>
      </c>
      <c r="B60" t="s">
        <v>441</v>
      </c>
      <c r="C60" t="s">
        <v>30</v>
      </c>
      <c r="D60">
        <v>58</v>
      </c>
      <c r="E60" t="s">
        <v>302</v>
      </c>
      <c r="F60" t="s">
        <v>326</v>
      </c>
      <c r="G60" t="s">
        <v>304</v>
      </c>
      <c r="H60" t="s">
        <v>305</v>
      </c>
      <c r="I60" t="s">
        <v>442</v>
      </c>
      <c r="J60">
        <v>10</v>
      </c>
      <c r="K60">
        <v>44690</v>
      </c>
      <c r="L60">
        <v>3750</v>
      </c>
      <c r="M60">
        <v>18</v>
      </c>
      <c r="N60">
        <v>5</v>
      </c>
      <c r="O60">
        <v>4.0999999999999996</v>
      </c>
      <c r="P60" t="s">
        <v>66</v>
      </c>
      <c r="Q60" t="s">
        <v>27</v>
      </c>
      <c r="R60" t="s">
        <v>307</v>
      </c>
      <c r="S60" t="s">
        <v>308</v>
      </c>
      <c r="T60" t="s">
        <v>404</v>
      </c>
      <c r="U60">
        <v>1</v>
      </c>
      <c r="V60">
        <v>29</v>
      </c>
      <c r="W60">
        <v>4705</v>
      </c>
      <c r="X60">
        <v>52125</v>
      </c>
      <c r="Y60" t="s">
        <v>310</v>
      </c>
    </row>
    <row r="61" spans="1:25" x14ac:dyDescent="0.25">
      <c r="A61">
        <v>60</v>
      </c>
      <c r="B61" t="s">
        <v>443</v>
      </c>
      <c r="C61" t="s">
        <v>30</v>
      </c>
      <c r="D61">
        <v>35</v>
      </c>
      <c r="E61" t="s">
        <v>302</v>
      </c>
      <c r="F61" t="s">
        <v>303</v>
      </c>
      <c r="G61" t="s">
        <v>313</v>
      </c>
      <c r="H61" t="s">
        <v>314</v>
      </c>
      <c r="I61" t="s">
        <v>444</v>
      </c>
      <c r="J61">
        <v>3</v>
      </c>
      <c r="K61">
        <v>88431</v>
      </c>
      <c r="L61">
        <v>4547</v>
      </c>
      <c r="M61">
        <v>12</v>
      </c>
      <c r="N61">
        <v>1</v>
      </c>
      <c r="O61">
        <v>4.2</v>
      </c>
      <c r="P61" t="s">
        <v>49</v>
      </c>
      <c r="Q61" t="s">
        <v>49</v>
      </c>
      <c r="R61" t="s">
        <v>324</v>
      </c>
      <c r="S61" t="s">
        <v>308</v>
      </c>
      <c r="T61" t="s">
        <v>341</v>
      </c>
      <c r="U61">
        <v>2</v>
      </c>
      <c r="V61">
        <v>16</v>
      </c>
      <c r="W61">
        <v>1531</v>
      </c>
      <c r="X61">
        <v>86823</v>
      </c>
      <c r="Y61" t="s">
        <v>310</v>
      </c>
    </row>
    <row r="62" spans="1:25" x14ac:dyDescent="0.25">
      <c r="A62">
        <v>61</v>
      </c>
      <c r="B62" t="s">
        <v>445</v>
      </c>
      <c r="C62" t="s">
        <v>30</v>
      </c>
      <c r="D62">
        <v>48</v>
      </c>
      <c r="E62" t="s">
        <v>302</v>
      </c>
      <c r="F62" t="s">
        <v>332</v>
      </c>
      <c r="G62" t="s">
        <v>304</v>
      </c>
      <c r="H62" t="s">
        <v>314</v>
      </c>
      <c r="I62" t="s">
        <v>446</v>
      </c>
      <c r="J62">
        <v>13</v>
      </c>
      <c r="K62">
        <v>47641</v>
      </c>
      <c r="L62">
        <v>2004</v>
      </c>
      <c r="M62">
        <v>0</v>
      </c>
      <c r="N62">
        <v>4</v>
      </c>
      <c r="O62">
        <v>3.8</v>
      </c>
      <c r="P62" t="s">
        <v>66</v>
      </c>
      <c r="Q62" t="s">
        <v>49</v>
      </c>
      <c r="R62" t="s">
        <v>307</v>
      </c>
      <c r="S62" t="s">
        <v>308</v>
      </c>
      <c r="T62" t="s">
        <v>383</v>
      </c>
      <c r="U62">
        <v>1</v>
      </c>
      <c r="V62">
        <v>25</v>
      </c>
      <c r="W62">
        <v>9129</v>
      </c>
      <c r="X62">
        <v>52634</v>
      </c>
      <c r="Y62" t="s">
        <v>310</v>
      </c>
    </row>
    <row r="63" spans="1:25" x14ac:dyDescent="0.25">
      <c r="A63">
        <v>62</v>
      </c>
      <c r="B63" t="s">
        <v>447</v>
      </c>
      <c r="C63" t="s">
        <v>30</v>
      </c>
      <c r="D63">
        <v>51</v>
      </c>
      <c r="E63" t="s">
        <v>318</v>
      </c>
      <c r="F63" t="s">
        <v>332</v>
      </c>
      <c r="G63" t="s">
        <v>313</v>
      </c>
      <c r="H63" t="s">
        <v>314</v>
      </c>
      <c r="I63" t="s">
        <v>448</v>
      </c>
      <c r="J63">
        <v>2</v>
      </c>
      <c r="K63">
        <v>49009</v>
      </c>
      <c r="L63">
        <v>3470</v>
      </c>
      <c r="M63">
        <v>12</v>
      </c>
      <c r="N63">
        <v>4</v>
      </c>
      <c r="O63">
        <v>4</v>
      </c>
      <c r="P63" t="s">
        <v>27</v>
      </c>
      <c r="Q63" t="s">
        <v>49</v>
      </c>
      <c r="R63" t="s">
        <v>324</v>
      </c>
      <c r="S63" t="s">
        <v>308</v>
      </c>
      <c r="T63" t="s">
        <v>383</v>
      </c>
      <c r="U63">
        <v>5</v>
      </c>
      <c r="V63">
        <v>25</v>
      </c>
      <c r="W63">
        <v>7888</v>
      </c>
      <c r="X63">
        <v>77819</v>
      </c>
      <c r="Y63" t="s">
        <v>310</v>
      </c>
    </row>
    <row r="64" spans="1:25" x14ac:dyDescent="0.25">
      <c r="A64">
        <v>63</v>
      </c>
      <c r="B64" t="s">
        <v>449</v>
      </c>
      <c r="C64" t="s">
        <v>30</v>
      </c>
      <c r="D64">
        <v>23</v>
      </c>
      <c r="E64" t="s">
        <v>302</v>
      </c>
      <c r="F64" t="s">
        <v>347</v>
      </c>
      <c r="G64" t="s">
        <v>304</v>
      </c>
      <c r="H64" t="s">
        <v>305</v>
      </c>
      <c r="I64" t="s">
        <v>450</v>
      </c>
      <c r="J64">
        <v>19</v>
      </c>
      <c r="K64">
        <v>62071</v>
      </c>
      <c r="L64">
        <v>7816</v>
      </c>
      <c r="M64">
        <v>12</v>
      </c>
      <c r="N64">
        <v>3</v>
      </c>
      <c r="O64">
        <v>4.5</v>
      </c>
      <c r="P64" t="s">
        <v>27</v>
      </c>
      <c r="Q64" t="s">
        <v>27</v>
      </c>
      <c r="R64" t="s">
        <v>324</v>
      </c>
      <c r="S64" t="s">
        <v>308</v>
      </c>
      <c r="T64" t="s">
        <v>383</v>
      </c>
      <c r="U64">
        <v>7</v>
      </c>
      <c r="V64">
        <v>30</v>
      </c>
      <c r="W64">
        <v>9738</v>
      </c>
      <c r="X64">
        <v>67078</v>
      </c>
      <c r="Y64" t="s">
        <v>310</v>
      </c>
    </row>
    <row r="65" spans="1:25" x14ac:dyDescent="0.25">
      <c r="A65">
        <v>64</v>
      </c>
      <c r="B65" t="s">
        <v>451</v>
      </c>
      <c r="C65" t="s">
        <v>43</v>
      </c>
      <c r="D65">
        <v>35</v>
      </c>
      <c r="E65" t="s">
        <v>302</v>
      </c>
      <c r="F65" t="s">
        <v>326</v>
      </c>
      <c r="G65" t="s">
        <v>313</v>
      </c>
      <c r="H65" t="s">
        <v>305</v>
      </c>
      <c r="I65" t="s">
        <v>452</v>
      </c>
      <c r="J65">
        <v>10</v>
      </c>
      <c r="K65">
        <v>57557</v>
      </c>
      <c r="L65">
        <v>5100</v>
      </c>
      <c r="M65">
        <v>17</v>
      </c>
      <c r="N65">
        <v>1</v>
      </c>
      <c r="O65">
        <v>4.5999999999999996</v>
      </c>
      <c r="P65" t="s">
        <v>66</v>
      </c>
      <c r="Q65" t="s">
        <v>27</v>
      </c>
      <c r="R65" t="s">
        <v>324</v>
      </c>
      <c r="S65" t="s">
        <v>308</v>
      </c>
      <c r="T65" t="s">
        <v>383</v>
      </c>
      <c r="U65">
        <v>5</v>
      </c>
      <c r="V65">
        <v>23</v>
      </c>
      <c r="W65">
        <v>7506</v>
      </c>
      <c r="X65">
        <v>97775</v>
      </c>
      <c r="Y65" t="s">
        <v>310</v>
      </c>
    </row>
    <row r="66" spans="1:25" x14ac:dyDescent="0.25">
      <c r="A66">
        <v>65</v>
      </c>
      <c r="B66" t="s">
        <v>453</v>
      </c>
      <c r="C66" t="s">
        <v>43</v>
      </c>
      <c r="D66">
        <v>37</v>
      </c>
      <c r="E66" t="s">
        <v>302</v>
      </c>
      <c r="F66" t="s">
        <v>303</v>
      </c>
      <c r="G66" t="s">
        <v>304</v>
      </c>
      <c r="H66" t="s">
        <v>305</v>
      </c>
      <c r="I66" t="s">
        <v>454</v>
      </c>
      <c r="J66">
        <v>14</v>
      </c>
      <c r="K66">
        <v>45191</v>
      </c>
      <c r="L66">
        <v>3956</v>
      </c>
      <c r="M66">
        <v>8</v>
      </c>
      <c r="N66">
        <v>0</v>
      </c>
      <c r="O66">
        <v>4.5</v>
      </c>
      <c r="P66" t="s">
        <v>49</v>
      </c>
      <c r="Q66" t="s">
        <v>27</v>
      </c>
      <c r="R66" t="s">
        <v>307</v>
      </c>
      <c r="S66" t="s">
        <v>308</v>
      </c>
      <c r="T66" t="s">
        <v>404</v>
      </c>
      <c r="U66">
        <v>8</v>
      </c>
      <c r="V66">
        <v>22</v>
      </c>
      <c r="W66">
        <v>8257</v>
      </c>
      <c r="X66">
        <v>42714</v>
      </c>
      <c r="Y66" t="s">
        <v>310</v>
      </c>
    </row>
    <row r="67" spans="1:25" x14ac:dyDescent="0.25">
      <c r="A67">
        <v>66</v>
      </c>
      <c r="B67" t="s">
        <v>455</v>
      </c>
      <c r="C67" t="s">
        <v>43</v>
      </c>
      <c r="D67">
        <v>31</v>
      </c>
      <c r="E67" t="s">
        <v>302</v>
      </c>
      <c r="F67" t="s">
        <v>347</v>
      </c>
      <c r="G67" t="s">
        <v>313</v>
      </c>
      <c r="H67" t="s">
        <v>305</v>
      </c>
      <c r="I67" t="s">
        <v>456</v>
      </c>
      <c r="J67">
        <v>23</v>
      </c>
      <c r="K67">
        <v>63973</v>
      </c>
      <c r="L67">
        <v>6061</v>
      </c>
      <c r="M67">
        <v>4</v>
      </c>
      <c r="N67">
        <v>1</v>
      </c>
      <c r="O67">
        <v>4.5</v>
      </c>
      <c r="P67" t="s">
        <v>66</v>
      </c>
      <c r="Q67" t="s">
        <v>40</v>
      </c>
      <c r="R67" t="s">
        <v>324</v>
      </c>
      <c r="S67" t="s">
        <v>308</v>
      </c>
      <c r="T67" t="s">
        <v>309</v>
      </c>
      <c r="U67">
        <v>0</v>
      </c>
      <c r="V67">
        <v>28</v>
      </c>
      <c r="W67">
        <v>8235</v>
      </c>
      <c r="X67">
        <v>98524</v>
      </c>
      <c r="Y67" t="s">
        <v>310</v>
      </c>
    </row>
    <row r="68" spans="1:25" x14ac:dyDescent="0.25">
      <c r="A68">
        <v>67</v>
      </c>
      <c r="B68" t="s">
        <v>457</v>
      </c>
      <c r="C68" t="s">
        <v>43</v>
      </c>
      <c r="D68">
        <v>55</v>
      </c>
      <c r="E68" t="s">
        <v>302</v>
      </c>
      <c r="F68" t="s">
        <v>332</v>
      </c>
      <c r="G68" t="s">
        <v>304</v>
      </c>
      <c r="H68" t="s">
        <v>314</v>
      </c>
      <c r="I68" t="s">
        <v>458</v>
      </c>
      <c r="J68">
        <v>22</v>
      </c>
      <c r="K68">
        <v>35185</v>
      </c>
      <c r="L68">
        <v>2912</v>
      </c>
      <c r="M68">
        <v>10</v>
      </c>
      <c r="N68">
        <v>2</v>
      </c>
      <c r="O68">
        <v>4.8</v>
      </c>
      <c r="P68" t="s">
        <v>27</v>
      </c>
      <c r="Q68" t="s">
        <v>27</v>
      </c>
      <c r="R68" t="s">
        <v>324</v>
      </c>
      <c r="S68" t="s">
        <v>320</v>
      </c>
      <c r="T68" t="s">
        <v>321</v>
      </c>
      <c r="U68">
        <v>4</v>
      </c>
      <c r="V68">
        <v>28</v>
      </c>
      <c r="W68">
        <v>5282</v>
      </c>
      <c r="X68">
        <v>63011</v>
      </c>
      <c r="Y68" t="s">
        <v>310</v>
      </c>
    </row>
    <row r="69" spans="1:25" x14ac:dyDescent="0.25">
      <c r="A69">
        <v>68</v>
      </c>
      <c r="B69" t="s">
        <v>459</v>
      </c>
      <c r="C69" t="s">
        <v>43</v>
      </c>
      <c r="D69">
        <v>30</v>
      </c>
      <c r="E69" t="s">
        <v>318</v>
      </c>
      <c r="F69" t="s">
        <v>332</v>
      </c>
      <c r="G69" t="s">
        <v>304</v>
      </c>
      <c r="H69" t="s">
        <v>314</v>
      </c>
      <c r="I69" t="s">
        <v>460</v>
      </c>
      <c r="J69">
        <v>13</v>
      </c>
      <c r="K69">
        <v>85569</v>
      </c>
      <c r="L69">
        <v>2085</v>
      </c>
      <c r="M69">
        <v>16</v>
      </c>
      <c r="N69">
        <v>3</v>
      </c>
      <c r="O69">
        <v>5</v>
      </c>
      <c r="P69" t="s">
        <v>66</v>
      </c>
      <c r="Q69" t="s">
        <v>49</v>
      </c>
      <c r="R69" t="s">
        <v>324</v>
      </c>
      <c r="S69" t="s">
        <v>308</v>
      </c>
      <c r="T69" t="s">
        <v>316</v>
      </c>
      <c r="U69">
        <v>3</v>
      </c>
      <c r="V69">
        <v>18</v>
      </c>
      <c r="W69">
        <v>6876</v>
      </c>
      <c r="X69">
        <v>63488</v>
      </c>
      <c r="Y69" t="s">
        <v>310</v>
      </c>
    </row>
    <row r="70" spans="1:25" x14ac:dyDescent="0.25">
      <c r="A70">
        <v>69</v>
      </c>
      <c r="B70" t="s">
        <v>461</v>
      </c>
      <c r="C70" t="s">
        <v>30</v>
      </c>
      <c r="D70">
        <v>38</v>
      </c>
      <c r="E70" t="s">
        <v>302</v>
      </c>
      <c r="F70" t="s">
        <v>312</v>
      </c>
      <c r="G70" t="s">
        <v>304</v>
      </c>
      <c r="H70" t="s">
        <v>305</v>
      </c>
      <c r="I70" t="s">
        <v>462</v>
      </c>
      <c r="J70">
        <v>17</v>
      </c>
      <c r="K70">
        <v>88203</v>
      </c>
      <c r="L70">
        <v>6074</v>
      </c>
      <c r="M70">
        <v>17</v>
      </c>
      <c r="N70">
        <v>5</v>
      </c>
      <c r="O70">
        <v>4.5</v>
      </c>
      <c r="P70" t="s">
        <v>49</v>
      </c>
      <c r="Q70" t="s">
        <v>40</v>
      </c>
      <c r="R70" t="s">
        <v>307</v>
      </c>
      <c r="S70" t="s">
        <v>320</v>
      </c>
      <c r="T70" t="s">
        <v>383</v>
      </c>
      <c r="U70">
        <v>8</v>
      </c>
      <c r="V70">
        <v>26</v>
      </c>
      <c r="W70">
        <v>6331</v>
      </c>
      <c r="X70">
        <v>59846</v>
      </c>
      <c r="Y70" t="s">
        <v>310</v>
      </c>
    </row>
    <row r="71" spans="1:25" x14ac:dyDescent="0.25">
      <c r="A71">
        <v>70</v>
      </c>
      <c r="B71" t="s">
        <v>463</v>
      </c>
      <c r="C71" t="s">
        <v>30</v>
      </c>
      <c r="D71">
        <v>38</v>
      </c>
      <c r="E71" t="s">
        <v>318</v>
      </c>
      <c r="F71" t="s">
        <v>312</v>
      </c>
      <c r="G71" t="s">
        <v>304</v>
      </c>
      <c r="H71" t="s">
        <v>314</v>
      </c>
      <c r="I71" t="s">
        <v>464</v>
      </c>
      <c r="J71">
        <v>2</v>
      </c>
      <c r="K71">
        <v>67464</v>
      </c>
      <c r="L71">
        <v>5794</v>
      </c>
      <c r="M71">
        <v>11</v>
      </c>
      <c r="N71">
        <v>5</v>
      </c>
      <c r="O71">
        <v>4.0999999999999996</v>
      </c>
      <c r="P71" t="s">
        <v>27</v>
      </c>
      <c r="Q71" t="s">
        <v>49</v>
      </c>
      <c r="R71" t="s">
        <v>324</v>
      </c>
      <c r="S71" t="s">
        <v>308</v>
      </c>
      <c r="T71" t="s">
        <v>328</v>
      </c>
      <c r="U71">
        <v>1</v>
      </c>
      <c r="V71">
        <v>30</v>
      </c>
      <c r="W71">
        <v>7900</v>
      </c>
      <c r="X71">
        <v>46711</v>
      </c>
      <c r="Y71" t="s">
        <v>310</v>
      </c>
    </row>
    <row r="72" spans="1:25" x14ac:dyDescent="0.25">
      <c r="A72">
        <v>71</v>
      </c>
      <c r="B72" t="s">
        <v>465</v>
      </c>
      <c r="C72" t="s">
        <v>43</v>
      </c>
      <c r="D72">
        <v>37</v>
      </c>
      <c r="E72" t="s">
        <v>318</v>
      </c>
      <c r="F72" t="s">
        <v>332</v>
      </c>
      <c r="G72" t="s">
        <v>313</v>
      </c>
      <c r="H72" t="s">
        <v>305</v>
      </c>
      <c r="I72" t="s">
        <v>466</v>
      </c>
      <c r="J72">
        <v>2</v>
      </c>
      <c r="K72">
        <v>47752</v>
      </c>
      <c r="L72">
        <v>7121</v>
      </c>
      <c r="M72">
        <v>11</v>
      </c>
      <c r="N72">
        <v>3</v>
      </c>
      <c r="O72">
        <v>4.5</v>
      </c>
      <c r="P72" t="s">
        <v>27</v>
      </c>
      <c r="Q72" t="s">
        <v>49</v>
      </c>
      <c r="R72" t="s">
        <v>307</v>
      </c>
      <c r="S72" t="s">
        <v>320</v>
      </c>
      <c r="T72" t="s">
        <v>321</v>
      </c>
      <c r="U72">
        <v>7</v>
      </c>
      <c r="V72">
        <v>21</v>
      </c>
      <c r="W72">
        <v>2217</v>
      </c>
      <c r="X72">
        <v>83519</v>
      </c>
      <c r="Y72" t="s">
        <v>310</v>
      </c>
    </row>
    <row r="73" spans="1:25" x14ac:dyDescent="0.25">
      <c r="A73">
        <v>72</v>
      </c>
      <c r="B73" t="s">
        <v>467</v>
      </c>
      <c r="C73" t="s">
        <v>30</v>
      </c>
      <c r="D73">
        <v>54</v>
      </c>
      <c r="E73" t="s">
        <v>302</v>
      </c>
      <c r="F73" t="s">
        <v>312</v>
      </c>
      <c r="G73" t="s">
        <v>313</v>
      </c>
      <c r="H73" t="s">
        <v>305</v>
      </c>
      <c r="I73" t="s">
        <v>468</v>
      </c>
      <c r="J73">
        <v>22</v>
      </c>
      <c r="K73">
        <v>87294</v>
      </c>
      <c r="L73">
        <v>2808</v>
      </c>
      <c r="M73">
        <v>20</v>
      </c>
      <c r="N73">
        <v>3</v>
      </c>
      <c r="O73">
        <v>4.4000000000000004</v>
      </c>
      <c r="P73" t="s">
        <v>49</v>
      </c>
      <c r="Q73" t="s">
        <v>27</v>
      </c>
      <c r="R73" t="s">
        <v>324</v>
      </c>
      <c r="S73" t="s">
        <v>320</v>
      </c>
      <c r="T73" t="s">
        <v>328</v>
      </c>
      <c r="U73">
        <v>2</v>
      </c>
      <c r="V73">
        <v>18</v>
      </c>
      <c r="W73">
        <v>4991</v>
      </c>
      <c r="X73">
        <v>69352</v>
      </c>
      <c r="Y73" t="s">
        <v>310</v>
      </c>
    </row>
    <row r="74" spans="1:25" x14ac:dyDescent="0.25">
      <c r="A74">
        <v>73</v>
      </c>
      <c r="B74" t="s">
        <v>469</v>
      </c>
      <c r="C74" t="s">
        <v>30</v>
      </c>
      <c r="D74">
        <v>51</v>
      </c>
      <c r="E74" t="s">
        <v>302</v>
      </c>
      <c r="F74" t="s">
        <v>312</v>
      </c>
      <c r="G74" t="s">
        <v>304</v>
      </c>
      <c r="H74" t="s">
        <v>314</v>
      </c>
      <c r="I74" t="s">
        <v>470</v>
      </c>
      <c r="J74">
        <v>13</v>
      </c>
      <c r="K74">
        <v>79870</v>
      </c>
      <c r="L74">
        <v>2613</v>
      </c>
      <c r="M74">
        <v>20</v>
      </c>
      <c r="N74">
        <v>2</v>
      </c>
      <c r="O74">
        <v>4.7</v>
      </c>
      <c r="P74" t="s">
        <v>49</v>
      </c>
      <c r="Q74" t="s">
        <v>49</v>
      </c>
      <c r="R74" t="s">
        <v>324</v>
      </c>
      <c r="S74" t="s">
        <v>320</v>
      </c>
      <c r="T74" t="s">
        <v>316</v>
      </c>
      <c r="U74">
        <v>7</v>
      </c>
      <c r="V74">
        <v>25</v>
      </c>
      <c r="W74">
        <v>2645</v>
      </c>
      <c r="X74">
        <v>72089</v>
      </c>
      <c r="Y74" t="s">
        <v>310</v>
      </c>
    </row>
    <row r="75" spans="1:25" x14ac:dyDescent="0.25">
      <c r="A75">
        <v>74</v>
      </c>
      <c r="B75" t="s">
        <v>471</v>
      </c>
      <c r="C75" t="s">
        <v>43</v>
      </c>
      <c r="D75">
        <v>27</v>
      </c>
      <c r="E75" t="s">
        <v>318</v>
      </c>
      <c r="F75" t="s">
        <v>326</v>
      </c>
      <c r="G75" t="s">
        <v>304</v>
      </c>
      <c r="H75" t="s">
        <v>314</v>
      </c>
      <c r="I75" t="s">
        <v>472</v>
      </c>
      <c r="J75">
        <v>19</v>
      </c>
      <c r="K75">
        <v>78697</v>
      </c>
      <c r="L75">
        <v>5615</v>
      </c>
      <c r="M75">
        <v>15</v>
      </c>
      <c r="N75">
        <v>4</v>
      </c>
      <c r="O75">
        <v>4.2</v>
      </c>
      <c r="P75" t="s">
        <v>66</v>
      </c>
      <c r="Q75" t="s">
        <v>27</v>
      </c>
      <c r="R75" t="s">
        <v>324</v>
      </c>
      <c r="S75" t="s">
        <v>320</v>
      </c>
      <c r="T75" t="s">
        <v>336</v>
      </c>
      <c r="U75">
        <v>7</v>
      </c>
      <c r="V75">
        <v>17</v>
      </c>
      <c r="W75">
        <v>997</v>
      </c>
      <c r="X75">
        <v>40505</v>
      </c>
      <c r="Y75" t="s">
        <v>310</v>
      </c>
    </row>
    <row r="76" spans="1:25" x14ac:dyDescent="0.25">
      <c r="A76">
        <v>75</v>
      </c>
      <c r="B76" t="s">
        <v>473</v>
      </c>
      <c r="C76" t="s">
        <v>43</v>
      </c>
      <c r="D76">
        <v>41</v>
      </c>
      <c r="E76" t="s">
        <v>318</v>
      </c>
      <c r="F76" t="s">
        <v>332</v>
      </c>
      <c r="G76" t="s">
        <v>304</v>
      </c>
      <c r="H76" t="s">
        <v>314</v>
      </c>
      <c r="I76" t="s">
        <v>474</v>
      </c>
      <c r="J76">
        <v>25</v>
      </c>
      <c r="K76">
        <v>62688</v>
      </c>
      <c r="L76">
        <v>7069</v>
      </c>
      <c r="M76">
        <v>14</v>
      </c>
      <c r="N76">
        <v>0</v>
      </c>
      <c r="O76">
        <v>4.8</v>
      </c>
      <c r="P76" t="s">
        <v>66</v>
      </c>
      <c r="Q76" t="s">
        <v>40</v>
      </c>
      <c r="R76" t="s">
        <v>324</v>
      </c>
      <c r="S76" t="s">
        <v>320</v>
      </c>
      <c r="T76" t="s">
        <v>321</v>
      </c>
      <c r="U76">
        <v>6</v>
      </c>
      <c r="V76">
        <v>25</v>
      </c>
      <c r="W76">
        <v>8099</v>
      </c>
      <c r="X76">
        <v>67767</v>
      </c>
      <c r="Y76" t="s">
        <v>310</v>
      </c>
    </row>
    <row r="77" spans="1:25" x14ac:dyDescent="0.25">
      <c r="A77">
        <v>76</v>
      </c>
      <c r="B77" t="s">
        <v>475</v>
      </c>
      <c r="C77" t="s">
        <v>43</v>
      </c>
      <c r="D77">
        <v>27</v>
      </c>
      <c r="E77" t="s">
        <v>318</v>
      </c>
      <c r="F77" t="s">
        <v>347</v>
      </c>
      <c r="G77" t="s">
        <v>304</v>
      </c>
      <c r="H77" t="s">
        <v>305</v>
      </c>
      <c r="I77" t="s">
        <v>476</v>
      </c>
      <c r="J77">
        <v>22</v>
      </c>
      <c r="K77">
        <v>38557</v>
      </c>
      <c r="L77">
        <v>7763</v>
      </c>
      <c r="M77">
        <v>4</v>
      </c>
      <c r="N77">
        <v>0</v>
      </c>
      <c r="O77">
        <v>3.8</v>
      </c>
      <c r="P77" t="s">
        <v>66</v>
      </c>
      <c r="Q77" t="s">
        <v>27</v>
      </c>
      <c r="R77" t="s">
        <v>324</v>
      </c>
      <c r="S77" t="s">
        <v>308</v>
      </c>
      <c r="T77" t="s">
        <v>336</v>
      </c>
      <c r="U77">
        <v>1</v>
      </c>
      <c r="V77">
        <v>16</v>
      </c>
      <c r="W77">
        <v>6084</v>
      </c>
      <c r="X77">
        <v>98887</v>
      </c>
      <c r="Y77" t="s">
        <v>310</v>
      </c>
    </row>
    <row r="78" spans="1:25" x14ac:dyDescent="0.25">
      <c r="A78">
        <v>77</v>
      </c>
      <c r="B78" t="s">
        <v>477</v>
      </c>
      <c r="C78" t="s">
        <v>30</v>
      </c>
      <c r="D78">
        <v>50</v>
      </c>
      <c r="E78" t="s">
        <v>318</v>
      </c>
      <c r="F78" t="s">
        <v>332</v>
      </c>
      <c r="G78" t="s">
        <v>304</v>
      </c>
      <c r="H78" t="s">
        <v>314</v>
      </c>
      <c r="I78" t="s">
        <v>478</v>
      </c>
      <c r="J78">
        <v>10</v>
      </c>
      <c r="K78">
        <v>85020</v>
      </c>
      <c r="L78">
        <v>3132</v>
      </c>
      <c r="M78">
        <v>10</v>
      </c>
      <c r="N78">
        <v>1</v>
      </c>
      <c r="O78">
        <v>4.5</v>
      </c>
      <c r="P78" t="s">
        <v>27</v>
      </c>
      <c r="Q78" t="s">
        <v>49</v>
      </c>
      <c r="R78" t="s">
        <v>324</v>
      </c>
      <c r="S78" t="s">
        <v>308</v>
      </c>
      <c r="T78" t="s">
        <v>321</v>
      </c>
      <c r="U78">
        <v>6</v>
      </c>
      <c r="V78">
        <v>21</v>
      </c>
      <c r="W78">
        <v>1752</v>
      </c>
      <c r="X78">
        <v>47487</v>
      </c>
      <c r="Y78" t="s">
        <v>310</v>
      </c>
    </row>
    <row r="79" spans="1:25" x14ac:dyDescent="0.25">
      <c r="A79">
        <v>78</v>
      </c>
      <c r="B79" t="s">
        <v>479</v>
      </c>
      <c r="C79" t="s">
        <v>30</v>
      </c>
      <c r="D79">
        <v>36</v>
      </c>
      <c r="E79" t="s">
        <v>318</v>
      </c>
      <c r="F79" t="s">
        <v>303</v>
      </c>
      <c r="G79" t="s">
        <v>304</v>
      </c>
      <c r="H79" t="s">
        <v>314</v>
      </c>
      <c r="I79" t="s">
        <v>480</v>
      </c>
      <c r="J79">
        <v>3</v>
      </c>
      <c r="K79">
        <v>49772</v>
      </c>
      <c r="L79">
        <v>5707</v>
      </c>
      <c r="M79">
        <v>12</v>
      </c>
      <c r="N79">
        <v>2</v>
      </c>
      <c r="O79">
        <v>4.7</v>
      </c>
      <c r="P79" t="s">
        <v>49</v>
      </c>
      <c r="Q79" t="s">
        <v>27</v>
      </c>
      <c r="R79" t="s">
        <v>307</v>
      </c>
      <c r="S79" t="s">
        <v>308</v>
      </c>
      <c r="T79" t="s">
        <v>321</v>
      </c>
      <c r="U79">
        <v>2</v>
      </c>
      <c r="V79">
        <v>22</v>
      </c>
      <c r="W79">
        <v>2975</v>
      </c>
      <c r="X79">
        <v>85024</v>
      </c>
      <c r="Y79" t="s">
        <v>310</v>
      </c>
    </row>
    <row r="80" spans="1:25" x14ac:dyDescent="0.25">
      <c r="A80">
        <v>79</v>
      </c>
      <c r="B80" t="s">
        <v>481</v>
      </c>
      <c r="C80" t="s">
        <v>43</v>
      </c>
      <c r="D80">
        <v>57</v>
      </c>
      <c r="E80" t="s">
        <v>318</v>
      </c>
      <c r="F80" t="s">
        <v>332</v>
      </c>
      <c r="G80" t="s">
        <v>313</v>
      </c>
      <c r="H80" t="s">
        <v>314</v>
      </c>
      <c r="I80" t="s">
        <v>482</v>
      </c>
      <c r="J80">
        <v>14</v>
      </c>
      <c r="K80">
        <v>64586</v>
      </c>
      <c r="L80">
        <v>2886</v>
      </c>
      <c r="M80">
        <v>7</v>
      </c>
      <c r="N80">
        <v>3</v>
      </c>
      <c r="O80">
        <v>4.2</v>
      </c>
      <c r="P80" t="s">
        <v>27</v>
      </c>
      <c r="Q80" t="s">
        <v>49</v>
      </c>
      <c r="R80" t="s">
        <v>324</v>
      </c>
      <c r="S80" t="s">
        <v>320</v>
      </c>
      <c r="T80" t="s">
        <v>321</v>
      </c>
      <c r="U80">
        <v>3</v>
      </c>
      <c r="V80">
        <v>18</v>
      </c>
      <c r="W80">
        <v>9620</v>
      </c>
      <c r="X80">
        <v>49158</v>
      </c>
      <c r="Y80" t="s">
        <v>310</v>
      </c>
    </row>
    <row r="81" spans="1:25" x14ac:dyDescent="0.25">
      <c r="A81">
        <v>80</v>
      </c>
      <c r="B81" t="s">
        <v>483</v>
      </c>
      <c r="C81" t="s">
        <v>43</v>
      </c>
      <c r="D81">
        <v>53</v>
      </c>
      <c r="E81" t="s">
        <v>318</v>
      </c>
      <c r="F81" t="s">
        <v>332</v>
      </c>
      <c r="G81" t="s">
        <v>304</v>
      </c>
      <c r="H81" t="s">
        <v>314</v>
      </c>
      <c r="I81" t="s">
        <v>484</v>
      </c>
      <c r="J81">
        <v>23</v>
      </c>
      <c r="K81">
        <v>37981</v>
      </c>
      <c r="L81">
        <v>7868</v>
      </c>
      <c r="M81">
        <v>9</v>
      </c>
      <c r="N81">
        <v>5</v>
      </c>
      <c r="O81">
        <v>4.8</v>
      </c>
      <c r="P81" t="s">
        <v>49</v>
      </c>
      <c r="Q81" t="s">
        <v>27</v>
      </c>
      <c r="R81" t="s">
        <v>307</v>
      </c>
      <c r="S81" t="s">
        <v>320</v>
      </c>
      <c r="T81" t="s">
        <v>321</v>
      </c>
      <c r="U81">
        <v>8</v>
      </c>
      <c r="V81">
        <v>18</v>
      </c>
      <c r="W81">
        <v>3705</v>
      </c>
      <c r="X81">
        <v>71500</v>
      </c>
      <c r="Y81" t="s">
        <v>310</v>
      </c>
    </row>
    <row r="82" spans="1:25" x14ac:dyDescent="0.25">
      <c r="A82">
        <v>81</v>
      </c>
      <c r="B82" t="s">
        <v>485</v>
      </c>
      <c r="C82" t="s">
        <v>30</v>
      </c>
      <c r="D82">
        <v>51</v>
      </c>
      <c r="E82" t="s">
        <v>318</v>
      </c>
      <c r="F82" t="s">
        <v>347</v>
      </c>
      <c r="G82" t="s">
        <v>313</v>
      </c>
      <c r="H82" t="s">
        <v>305</v>
      </c>
      <c r="I82" t="s">
        <v>486</v>
      </c>
      <c r="J82">
        <v>20</v>
      </c>
      <c r="K82">
        <v>42257</v>
      </c>
      <c r="L82">
        <v>7727</v>
      </c>
      <c r="M82">
        <v>0</v>
      </c>
      <c r="N82">
        <v>0</v>
      </c>
      <c r="O82">
        <v>5</v>
      </c>
      <c r="P82" t="s">
        <v>49</v>
      </c>
      <c r="Q82" t="s">
        <v>49</v>
      </c>
      <c r="R82" t="s">
        <v>307</v>
      </c>
      <c r="S82" t="s">
        <v>308</v>
      </c>
      <c r="T82" t="s">
        <v>316</v>
      </c>
      <c r="U82">
        <v>0</v>
      </c>
      <c r="V82">
        <v>30</v>
      </c>
      <c r="W82">
        <v>4741</v>
      </c>
      <c r="X82">
        <v>83540</v>
      </c>
      <c r="Y82" t="s">
        <v>310</v>
      </c>
    </row>
    <row r="83" spans="1:25" x14ac:dyDescent="0.25">
      <c r="A83">
        <v>82</v>
      </c>
      <c r="B83" t="s">
        <v>487</v>
      </c>
      <c r="C83" t="s">
        <v>43</v>
      </c>
      <c r="D83">
        <v>27</v>
      </c>
      <c r="E83" t="s">
        <v>318</v>
      </c>
      <c r="F83" t="s">
        <v>312</v>
      </c>
      <c r="G83" t="s">
        <v>304</v>
      </c>
      <c r="H83" t="s">
        <v>314</v>
      </c>
      <c r="I83" t="s">
        <v>488</v>
      </c>
      <c r="J83">
        <v>6</v>
      </c>
      <c r="K83">
        <v>77009</v>
      </c>
      <c r="L83">
        <v>3520</v>
      </c>
      <c r="M83">
        <v>10</v>
      </c>
      <c r="N83">
        <v>3</v>
      </c>
      <c r="O83">
        <v>4.7</v>
      </c>
      <c r="P83" t="s">
        <v>27</v>
      </c>
      <c r="Q83" t="s">
        <v>27</v>
      </c>
      <c r="R83" t="s">
        <v>307</v>
      </c>
      <c r="S83" t="s">
        <v>320</v>
      </c>
      <c r="T83" t="s">
        <v>309</v>
      </c>
      <c r="U83">
        <v>8</v>
      </c>
      <c r="V83">
        <v>28</v>
      </c>
      <c r="W83">
        <v>5349</v>
      </c>
      <c r="X83">
        <v>43602</v>
      </c>
      <c r="Y83" t="s">
        <v>310</v>
      </c>
    </row>
    <row r="84" spans="1:25" x14ac:dyDescent="0.25">
      <c r="A84">
        <v>83</v>
      </c>
      <c r="B84" t="s">
        <v>489</v>
      </c>
      <c r="C84" t="s">
        <v>30</v>
      </c>
      <c r="D84">
        <v>53</v>
      </c>
      <c r="E84" t="s">
        <v>318</v>
      </c>
      <c r="F84" t="s">
        <v>326</v>
      </c>
      <c r="G84" t="s">
        <v>313</v>
      </c>
      <c r="H84" t="s">
        <v>314</v>
      </c>
      <c r="I84" t="s">
        <v>490</v>
      </c>
      <c r="J84">
        <v>18</v>
      </c>
      <c r="K84">
        <v>72321</v>
      </c>
      <c r="L84">
        <v>6052</v>
      </c>
      <c r="M84">
        <v>8</v>
      </c>
      <c r="N84">
        <v>4</v>
      </c>
      <c r="O84">
        <v>4.7</v>
      </c>
      <c r="P84" t="s">
        <v>49</v>
      </c>
      <c r="Q84" t="s">
        <v>49</v>
      </c>
      <c r="R84" t="s">
        <v>324</v>
      </c>
      <c r="S84" t="s">
        <v>308</v>
      </c>
      <c r="T84" t="s">
        <v>321</v>
      </c>
      <c r="U84">
        <v>5</v>
      </c>
      <c r="V84">
        <v>23</v>
      </c>
      <c r="W84">
        <v>4735</v>
      </c>
      <c r="X84">
        <v>66653</v>
      </c>
      <c r="Y84" t="s">
        <v>310</v>
      </c>
    </row>
    <row r="85" spans="1:25" x14ac:dyDescent="0.25">
      <c r="A85">
        <v>84</v>
      </c>
      <c r="B85" t="s">
        <v>491</v>
      </c>
      <c r="C85" t="s">
        <v>30</v>
      </c>
      <c r="D85">
        <v>39</v>
      </c>
      <c r="E85" t="s">
        <v>302</v>
      </c>
      <c r="F85" t="s">
        <v>332</v>
      </c>
      <c r="G85" t="s">
        <v>304</v>
      </c>
      <c r="H85" t="s">
        <v>305</v>
      </c>
      <c r="I85" t="s">
        <v>492</v>
      </c>
      <c r="J85">
        <v>9</v>
      </c>
      <c r="K85">
        <v>43285</v>
      </c>
      <c r="L85">
        <v>7875</v>
      </c>
      <c r="M85">
        <v>14</v>
      </c>
      <c r="N85">
        <v>0</v>
      </c>
      <c r="O85">
        <v>3.5</v>
      </c>
      <c r="P85" t="s">
        <v>49</v>
      </c>
      <c r="Q85" t="s">
        <v>49</v>
      </c>
      <c r="R85" t="s">
        <v>324</v>
      </c>
      <c r="S85" t="s">
        <v>320</v>
      </c>
      <c r="T85" t="s">
        <v>328</v>
      </c>
      <c r="U85">
        <v>3</v>
      </c>
      <c r="V85">
        <v>23</v>
      </c>
      <c r="W85">
        <v>1370</v>
      </c>
      <c r="X85">
        <v>75267</v>
      </c>
      <c r="Y85" t="s">
        <v>310</v>
      </c>
    </row>
    <row r="86" spans="1:25" x14ac:dyDescent="0.25">
      <c r="A86">
        <v>85</v>
      </c>
      <c r="B86" t="s">
        <v>493</v>
      </c>
      <c r="C86" t="s">
        <v>30</v>
      </c>
      <c r="D86">
        <v>37</v>
      </c>
      <c r="E86" t="s">
        <v>302</v>
      </c>
      <c r="F86" t="s">
        <v>303</v>
      </c>
      <c r="G86" t="s">
        <v>304</v>
      </c>
      <c r="H86" t="s">
        <v>305</v>
      </c>
      <c r="I86" t="s">
        <v>494</v>
      </c>
      <c r="J86">
        <v>3</v>
      </c>
      <c r="K86">
        <v>84766</v>
      </c>
      <c r="L86">
        <v>6560</v>
      </c>
      <c r="M86">
        <v>7</v>
      </c>
      <c r="N86">
        <v>3</v>
      </c>
      <c r="O86">
        <v>4.8</v>
      </c>
      <c r="P86" t="s">
        <v>27</v>
      </c>
      <c r="Q86" t="s">
        <v>27</v>
      </c>
      <c r="R86" t="s">
        <v>324</v>
      </c>
      <c r="S86" t="s">
        <v>320</v>
      </c>
      <c r="T86" t="s">
        <v>383</v>
      </c>
      <c r="U86">
        <v>3</v>
      </c>
      <c r="V86">
        <v>28</v>
      </c>
      <c r="W86">
        <v>2104</v>
      </c>
      <c r="X86">
        <v>82172</v>
      </c>
      <c r="Y86" t="s">
        <v>310</v>
      </c>
    </row>
    <row r="87" spans="1:25" x14ac:dyDescent="0.25">
      <c r="A87">
        <v>86</v>
      </c>
      <c r="B87" t="s">
        <v>495</v>
      </c>
      <c r="C87" t="s">
        <v>30</v>
      </c>
      <c r="D87">
        <v>26</v>
      </c>
      <c r="E87" t="s">
        <v>318</v>
      </c>
      <c r="F87" t="s">
        <v>312</v>
      </c>
      <c r="G87" t="s">
        <v>313</v>
      </c>
      <c r="H87" t="s">
        <v>314</v>
      </c>
      <c r="I87" t="s">
        <v>496</v>
      </c>
      <c r="J87">
        <v>20</v>
      </c>
      <c r="K87">
        <v>57214</v>
      </c>
      <c r="L87">
        <v>3248</v>
      </c>
      <c r="M87">
        <v>0</v>
      </c>
      <c r="N87">
        <v>4</v>
      </c>
      <c r="O87">
        <v>4.2</v>
      </c>
      <c r="P87" t="s">
        <v>66</v>
      </c>
      <c r="Q87" t="s">
        <v>49</v>
      </c>
      <c r="R87" t="s">
        <v>324</v>
      </c>
      <c r="S87" t="s">
        <v>308</v>
      </c>
      <c r="T87" t="s">
        <v>341</v>
      </c>
      <c r="U87">
        <v>3</v>
      </c>
      <c r="V87">
        <v>28</v>
      </c>
      <c r="W87">
        <v>4409</v>
      </c>
      <c r="X87">
        <v>46862</v>
      </c>
      <c r="Y87" t="s">
        <v>310</v>
      </c>
    </row>
    <row r="88" spans="1:25" x14ac:dyDescent="0.25">
      <c r="A88">
        <v>87</v>
      </c>
      <c r="B88" t="s">
        <v>497</v>
      </c>
      <c r="C88" t="s">
        <v>43</v>
      </c>
      <c r="D88">
        <v>33</v>
      </c>
      <c r="E88" t="s">
        <v>318</v>
      </c>
      <c r="F88" t="s">
        <v>347</v>
      </c>
      <c r="G88" t="s">
        <v>313</v>
      </c>
      <c r="H88" t="s">
        <v>314</v>
      </c>
      <c r="I88" t="s">
        <v>498</v>
      </c>
      <c r="J88">
        <v>24</v>
      </c>
      <c r="K88">
        <v>82748</v>
      </c>
      <c r="L88">
        <v>7468</v>
      </c>
      <c r="M88">
        <v>8</v>
      </c>
      <c r="N88">
        <v>5</v>
      </c>
      <c r="O88">
        <v>4.7</v>
      </c>
      <c r="P88" t="s">
        <v>49</v>
      </c>
      <c r="Q88" t="s">
        <v>40</v>
      </c>
      <c r="R88" t="s">
        <v>307</v>
      </c>
      <c r="S88" t="s">
        <v>308</v>
      </c>
      <c r="T88" t="s">
        <v>316</v>
      </c>
      <c r="U88">
        <v>7</v>
      </c>
      <c r="V88">
        <v>26</v>
      </c>
      <c r="W88">
        <v>6693</v>
      </c>
      <c r="X88">
        <v>81067</v>
      </c>
      <c r="Y88" t="s">
        <v>310</v>
      </c>
    </row>
    <row r="89" spans="1:25" x14ac:dyDescent="0.25">
      <c r="A89">
        <v>88</v>
      </c>
      <c r="B89" t="s">
        <v>499</v>
      </c>
      <c r="C89" t="s">
        <v>30</v>
      </c>
      <c r="D89">
        <v>38</v>
      </c>
      <c r="E89" t="s">
        <v>318</v>
      </c>
      <c r="F89" t="s">
        <v>347</v>
      </c>
      <c r="G89" t="s">
        <v>313</v>
      </c>
      <c r="H89" t="s">
        <v>305</v>
      </c>
      <c r="I89" t="s">
        <v>500</v>
      </c>
      <c r="J89">
        <v>6</v>
      </c>
      <c r="K89">
        <v>42666</v>
      </c>
      <c r="L89">
        <v>4002</v>
      </c>
      <c r="M89">
        <v>9</v>
      </c>
      <c r="N89">
        <v>1</v>
      </c>
      <c r="O89">
        <v>3.9</v>
      </c>
      <c r="P89" t="s">
        <v>49</v>
      </c>
      <c r="Q89" t="s">
        <v>40</v>
      </c>
      <c r="R89" t="s">
        <v>324</v>
      </c>
      <c r="S89" t="s">
        <v>308</v>
      </c>
      <c r="T89" t="s">
        <v>341</v>
      </c>
      <c r="U89">
        <v>6</v>
      </c>
      <c r="V89">
        <v>26</v>
      </c>
      <c r="W89">
        <v>5231</v>
      </c>
      <c r="X89">
        <v>93831</v>
      </c>
      <c r="Y89" t="s">
        <v>310</v>
      </c>
    </row>
    <row r="90" spans="1:25" x14ac:dyDescent="0.25">
      <c r="A90">
        <v>89</v>
      </c>
      <c r="B90" t="s">
        <v>501</v>
      </c>
      <c r="C90" t="s">
        <v>43</v>
      </c>
      <c r="D90">
        <v>31</v>
      </c>
      <c r="E90" t="s">
        <v>302</v>
      </c>
      <c r="F90" t="s">
        <v>312</v>
      </c>
      <c r="G90" t="s">
        <v>304</v>
      </c>
      <c r="H90" t="s">
        <v>305</v>
      </c>
      <c r="I90" t="s">
        <v>502</v>
      </c>
      <c r="J90">
        <v>22</v>
      </c>
      <c r="K90">
        <v>88112</v>
      </c>
      <c r="L90">
        <v>5306</v>
      </c>
      <c r="M90">
        <v>7</v>
      </c>
      <c r="N90">
        <v>0</v>
      </c>
      <c r="O90">
        <v>4.3</v>
      </c>
      <c r="P90" t="s">
        <v>49</v>
      </c>
      <c r="Q90" t="s">
        <v>27</v>
      </c>
      <c r="R90" t="s">
        <v>324</v>
      </c>
      <c r="S90" t="s">
        <v>320</v>
      </c>
      <c r="T90" t="s">
        <v>383</v>
      </c>
      <c r="U90">
        <v>2</v>
      </c>
      <c r="V90">
        <v>16</v>
      </c>
      <c r="W90">
        <v>4051</v>
      </c>
      <c r="X90">
        <v>98480</v>
      </c>
      <c r="Y90" t="s">
        <v>310</v>
      </c>
    </row>
    <row r="91" spans="1:25" x14ac:dyDescent="0.25">
      <c r="A91">
        <v>90</v>
      </c>
      <c r="B91" t="s">
        <v>503</v>
      </c>
      <c r="C91" t="s">
        <v>43</v>
      </c>
      <c r="D91">
        <v>55</v>
      </c>
      <c r="E91" t="s">
        <v>302</v>
      </c>
      <c r="F91" t="s">
        <v>326</v>
      </c>
      <c r="G91" t="s">
        <v>304</v>
      </c>
      <c r="H91" t="s">
        <v>314</v>
      </c>
      <c r="I91" t="s">
        <v>391</v>
      </c>
      <c r="J91">
        <v>4</v>
      </c>
      <c r="K91">
        <v>50955</v>
      </c>
      <c r="L91">
        <v>5811</v>
      </c>
      <c r="M91">
        <v>18</v>
      </c>
      <c r="N91">
        <v>5</v>
      </c>
      <c r="O91">
        <v>3.6</v>
      </c>
      <c r="P91" t="s">
        <v>49</v>
      </c>
      <c r="Q91" t="s">
        <v>49</v>
      </c>
      <c r="R91" t="s">
        <v>324</v>
      </c>
      <c r="S91" t="s">
        <v>308</v>
      </c>
      <c r="T91" t="s">
        <v>383</v>
      </c>
      <c r="U91">
        <v>6</v>
      </c>
      <c r="V91">
        <v>16</v>
      </c>
      <c r="W91">
        <v>2750</v>
      </c>
      <c r="X91">
        <v>70952</v>
      </c>
      <c r="Y91" t="s">
        <v>310</v>
      </c>
    </row>
    <row r="92" spans="1:25" x14ac:dyDescent="0.25">
      <c r="A92">
        <v>91</v>
      </c>
      <c r="B92" t="s">
        <v>504</v>
      </c>
      <c r="C92" t="s">
        <v>43</v>
      </c>
      <c r="D92">
        <v>56</v>
      </c>
      <c r="E92" t="s">
        <v>318</v>
      </c>
      <c r="F92" t="s">
        <v>303</v>
      </c>
      <c r="G92" t="s">
        <v>313</v>
      </c>
      <c r="H92" t="s">
        <v>305</v>
      </c>
      <c r="I92" t="s">
        <v>505</v>
      </c>
      <c r="J92">
        <v>6</v>
      </c>
      <c r="K92">
        <v>55238</v>
      </c>
      <c r="L92">
        <v>2774</v>
      </c>
      <c r="M92">
        <v>7</v>
      </c>
      <c r="N92">
        <v>1</v>
      </c>
      <c r="O92">
        <v>4.7</v>
      </c>
      <c r="P92" t="s">
        <v>49</v>
      </c>
      <c r="Q92" t="s">
        <v>49</v>
      </c>
      <c r="R92" t="s">
        <v>307</v>
      </c>
      <c r="S92" t="s">
        <v>320</v>
      </c>
      <c r="T92" t="s">
        <v>321</v>
      </c>
      <c r="U92">
        <v>0</v>
      </c>
      <c r="V92">
        <v>26</v>
      </c>
      <c r="W92">
        <v>8517</v>
      </c>
      <c r="X92">
        <v>93223</v>
      </c>
      <c r="Y92" t="s">
        <v>310</v>
      </c>
    </row>
    <row r="93" spans="1:25" x14ac:dyDescent="0.25">
      <c r="A93">
        <v>92</v>
      </c>
      <c r="B93" t="s">
        <v>506</v>
      </c>
      <c r="C93" t="s">
        <v>30</v>
      </c>
      <c r="D93">
        <v>23</v>
      </c>
      <c r="E93" t="s">
        <v>318</v>
      </c>
      <c r="F93" t="s">
        <v>326</v>
      </c>
      <c r="G93" t="s">
        <v>304</v>
      </c>
      <c r="H93" t="s">
        <v>314</v>
      </c>
      <c r="I93" t="s">
        <v>507</v>
      </c>
      <c r="J93">
        <v>3</v>
      </c>
      <c r="K93">
        <v>79951</v>
      </c>
      <c r="L93">
        <v>4524</v>
      </c>
      <c r="M93">
        <v>14</v>
      </c>
      <c r="N93">
        <v>0</v>
      </c>
      <c r="O93">
        <v>5</v>
      </c>
      <c r="P93" t="s">
        <v>49</v>
      </c>
      <c r="Q93" t="s">
        <v>40</v>
      </c>
      <c r="R93" t="s">
        <v>324</v>
      </c>
      <c r="S93" t="s">
        <v>320</v>
      </c>
      <c r="T93" t="s">
        <v>341</v>
      </c>
      <c r="U93">
        <v>3</v>
      </c>
      <c r="V93">
        <v>21</v>
      </c>
      <c r="W93">
        <v>8109</v>
      </c>
      <c r="X93">
        <v>63345</v>
      </c>
      <c r="Y93" t="s">
        <v>310</v>
      </c>
    </row>
    <row r="94" spans="1:25" x14ac:dyDescent="0.25">
      <c r="A94">
        <v>93</v>
      </c>
      <c r="B94" t="s">
        <v>508</v>
      </c>
      <c r="C94" t="s">
        <v>30</v>
      </c>
      <c r="D94">
        <v>50</v>
      </c>
      <c r="E94" t="s">
        <v>302</v>
      </c>
      <c r="F94" t="s">
        <v>312</v>
      </c>
      <c r="G94" t="s">
        <v>313</v>
      </c>
      <c r="H94" t="s">
        <v>314</v>
      </c>
      <c r="I94" t="s">
        <v>509</v>
      </c>
      <c r="J94">
        <v>10</v>
      </c>
      <c r="K94">
        <v>79827</v>
      </c>
      <c r="L94">
        <v>6299</v>
      </c>
      <c r="M94">
        <v>14</v>
      </c>
      <c r="N94">
        <v>1</v>
      </c>
      <c r="O94">
        <v>3.9</v>
      </c>
      <c r="P94" t="s">
        <v>27</v>
      </c>
      <c r="Q94" t="s">
        <v>49</v>
      </c>
      <c r="R94" t="s">
        <v>307</v>
      </c>
      <c r="S94" t="s">
        <v>308</v>
      </c>
      <c r="T94" t="s">
        <v>316</v>
      </c>
      <c r="U94">
        <v>7</v>
      </c>
      <c r="V94">
        <v>23</v>
      </c>
      <c r="W94">
        <v>7124</v>
      </c>
      <c r="X94">
        <v>94965</v>
      </c>
      <c r="Y94" t="s">
        <v>310</v>
      </c>
    </row>
    <row r="95" spans="1:25" x14ac:dyDescent="0.25">
      <c r="A95">
        <v>94</v>
      </c>
      <c r="B95" t="s">
        <v>510</v>
      </c>
      <c r="C95" t="s">
        <v>30</v>
      </c>
      <c r="D95">
        <v>36</v>
      </c>
      <c r="E95" t="s">
        <v>302</v>
      </c>
      <c r="F95" t="s">
        <v>347</v>
      </c>
      <c r="G95" t="s">
        <v>313</v>
      </c>
      <c r="H95" t="s">
        <v>305</v>
      </c>
      <c r="I95" t="s">
        <v>511</v>
      </c>
      <c r="J95">
        <v>19</v>
      </c>
      <c r="K95">
        <v>55370</v>
      </c>
      <c r="L95">
        <v>5451</v>
      </c>
      <c r="M95">
        <v>13</v>
      </c>
      <c r="N95">
        <v>3</v>
      </c>
      <c r="O95">
        <v>4.3</v>
      </c>
      <c r="P95" t="s">
        <v>66</v>
      </c>
      <c r="Q95" t="s">
        <v>27</v>
      </c>
      <c r="R95" t="s">
        <v>324</v>
      </c>
      <c r="S95" t="s">
        <v>308</v>
      </c>
      <c r="T95" t="s">
        <v>328</v>
      </c>
      <c r="U95">
        <v>7</v>
      </c>
      <c r="V95">
        <v>16</v>
      </c>
      <c r="W95">
        <v>4580</v>
      </c>
      <c r="X95">
        <v>92789</v>
      </c>
      <c r="Y95" t="s">
        <v>310</v>
      </c>
    </row>
    <row r="96" spans="1:25" x14ac:dyDescent="0.25">
      <c r="A96">
        <v>95</v>
      </c>
      <c r="B96" t="s">
        <v>512</v>
      </c>
      <c r="C96" t="s">
        <v>30</v>
      </c>
      <c r="D96">
        <v>23</v>
      </c>
      <c r="E96" t="s">
        <v>318</v>
      </c>
      <c r="F96" t="s">
        <v>303</v>
      </c>
      <c r="G96" t="s">
        <v>304</v>
      </c>
      <c r="H96" t="s">
        <v>314</v>
      </c>
      <c r="I96" t="s">
        <v>513</v>
      </c>
      <c r="J96">
        <v>16</v>
      </c>
      <c r="K96">
        <v>62714</v>
      </c>
      <c r="L96">
        <v>6133</v>
      </c>
      <c r="M96">
        <v>12</v>
      </c>
      <c r="N96">
        <v>0</v>
      </c>
      <c r="O96">
        <v>4.0999999999999996</v>
      </c>
      <c r="P96" t="s">
        <v>49</v>
      </c>
      <c r="Q96" t="s">
        <v>40</v>
      </c>
      <c r="R96" t="s">
        <v>324</v>
      </c>
      <c r="S96" t="s">
        <v>308</v>
      </c>
      <c r="T96" t="s">
        <v>404</v>
      </c>
      <c r="U96">
        <v>1</v>
      </c>
      <c r="V96">
        <v>24</v>
      </c>
      <c r="W96">
        <v>2709</v>
      </c>
      <c r="X96">
        <v>60758</v>
      </c>
      <c r="Y96" t="s">
        <v>310</v>
      </c>
    </row>
    <row r="97" spans="1:25" x14ac:dyDescent="0.25">
      <c r="A97">
        <v>96</v>
      </c>
      <c r="B97" t="s">
        <v>514</v>
      </c>
      <c r="C97" t="s">
        <v>43</v>
      </c>
      <c r="D97">
        <v>43</v>
      </c>
      <c r="E97" t="s">
        <v>318</v>
      </c>
      <c r="F97" t="s">
        <v>332</v>
      </c>
      <c r="G97" t="s">
        <v>313</v>
      </c>
      <c r="H97" t="s">
        <v>314</v>
      </c>
      <c r="I97" t="s">
        <v>515</v>
      </c>
      <c r="J97">
        <v>14</v>
      </c>
      <c r="K97">
        <v>89118</v>
      </c>
      <c r="L97">
        <v>7835</v>
      </c>
      <c r="M97">
        <v>15</v>
      </c>
      <c r="N97">
        <v>3</v>
      </c>
      <c r="O97">
        <v>4.4000000000000004</v>
      </c>
      <c r="P97" t="s">
        <v>66</v>
      </c>
      <c r="Q97" t="s">
        <v>27</v>
      </c>
      <c r="R97" t="s">
        <v>307</v>
      </c>
      <c r="S97" t="s">
        <v>320</v>
      </c>
      <c r="T97" t="s">
        <v>383</v>
      </c>
      <c r="U97">
        <v>5</v>
      </c>
      <c r="V97">
        <v>27</v>
      </c>
      <c r="W97">
        <v>9518</v>
      </c>
      <c r="X97">
        <v>53520</v>
      </c>
      <c r="Y97" t="s">
        <v>310</v>
      </c>
    </row>
    <row r="98" spans="1:25" x14ac:dyDescent="0.25">
      <c r="A98">
        <v>97</v>
      </c>
      <c r="B98" t="s">
        <v>516</v>
      </c>
      <c r="C98" t="s">
        <v>30</v>
      </c>
      <c r="D98">
        <v>34</v>
      </c>
      <c r="E98" t="s">
        <v>302</v>
      </c>
      <c r="F98" t="s">
        <v>326</v>
      </c>
      <c r="G98" t="s">
        <v>313</v>
      </c>
      <c r="H98" t="s">
        <v>314</v>
      </c>
      <c r="I98" t="s">
        <v>517</v>
      </c>
      <c r="J98">
        <v>1</v>
      </c>
      <c r="K98">
        <v>47098</v>
      </c>
      <c r="L98">
        <v>6339</v>
      </c>
      <c r="M98">
        <v>14</v>
      </c>
      <c r="N98">
        <v>2</v>
      </c>
      <c r="O98">
        <v>4.7</v>
      </c>
      <c r="P98" t="s">
        <v>49</v>
      </c>
      <c r="Q98" t="s">
        <v>49</v>
      </c>
      <c r="R98" t="s">
        <v>307</v>
      </c>
      <c r="S98" t="s">
        <v>308</v>
      </c>
      <c r="T98" t="s">
        <v>336</v>
      </c>
      <c r="U98">
        <v>0</v>
      </c>
      <c r="V98">
        <v>20</v>
      </c>
      <c r="W98">
        <v>4756</v>
      </c>
      <c r="X98">
        <v>57518</v>
      </c>
      <c r="Y98" t="s">
        <v>310</v>
      </c>
    </row>
    <row r="99" spans="1:25" x14ac:dyDescent="0.25">
      <c r="A99">
        <v>98</v>
      </c>
      <c r="B99" t="s">
        <v>518</v>
      </c>
      <c r="C99" t="s">
        <v>43</v>
      </c>
      <c r="D99">
        <v>58</v>
      </c>
      <c r="E99" t="s">
        <v>318</v>
      </c>
      <c r="F99" t="s">
        <v>303</v>
      </c>
      <c r="G99" t="s">
        <v>304</v>
      </c>
      <c r="H99" t="s">
        <v>314</v>
      </c>
      <c r="I99" t="s">
        <v>519</v>
      </c>
      <c r="J99">
        <v>21</v>
      </c>
      <c r="K99">
        <v>59976</v>
      </c>
      <c r="L99">
        <v>6762</v>
      </c>
      <c r="M99">
        <v>10</v>
      </c>
      <c r="N99">
        <v>0</v>
      </c>
      <c r="O99">
        <v>4</v>
      </c>
      <c r="P99" t="s">
        <v>27</v>
      </c>
      <c r="Q99" t="s">
        <v>49</v>
      </c>
      <c r="R99" t="s">
        <v>324</v>
      </c>
      <c r="S99" t="s">
        <v>308</v>
      </c>
      <c r="T99" t="s">
        <v>316</v>
      </c>
      <c r="U99">
        <v>1</v>
      </c>
      <c r="V99">
        <v>22</v>
      </c>
      <c r="W99">
        <v>4127</v>
      </c>
      <c r="X99">
        <v>66065</v>
      </c>
      <c r="Y99" t="s">
        <v>310</v>
      </c>
    </row>
    <row r="100" spans="1:25" x14ac:dyDescent="0.25">
      <c r="A100">
        <v>99</v>
      </c>
      <c r="B100" t="s">
        <v>520</v>
      </c>
      <c r="C100" t="s">
        <v>43</v>
      </c>
      <c r="D100">
        <v>57</v>
      </c>
      <c r="E100" t="s">
        <v>318</v>
      </c>
      <c r="F100" t="s">
        <v>326</v>
      </c>
      <c r="G100" t="s">
        <v>304</v>
      </c>
      <c r="H100" t="s">
        <v>305</v>
      </c>
      <c r="I100" t="s">
        <v>521</v>
      </c>
      <c r="J100">
        <v>8</v>
      </c>
      <c r="K100">
        <v>86686</v>
      </c>
      <c r="L100">
        <v>4634</v>
      </c>
      <c r="M100">
        <v>3</v>
      </c>
      <c r="N100">
        <v>4</v>
      </c>
      <c r="O100">
        <v>4.5</v>
      </c>
      <c r="P100" t="s">
        <v>66</v>
      </c>
      <c r="Q100" t="s">
        <v>27</v>
      </c>
      <c r="R100" t="s">
        <v>307</v>
      </c>
      <c r="S100" t="s">
        <v>320</v>
      </c>
      <c r="T100" t="s">
        <v>328</v>
      </c>
      <c r="U100">
        <v>3</v>
      </c>
      <c r="V100">
        <v>24</v>
      </c>
      <c r="W100">
        <v>9208</v>
      </c>
      <c r="X100">
        <v>88652</v>
      </c>
      <c r="Y100" t="s">
        <v>310</v>
      </c>
    </row>
    <row r="101" spans="1:25" x14ac:dyDescent="0.25">
      <c r="A101">
        <v>100</v>
      </c>
      <c r="B101" t="s">
        <v>522</v>
      </c>
      <c r="C101" t="s">
        <v>43</v>
      </c>
      <c r="D101">
        <v>51</v>
      </c>
      <c r="E101" t="s">
        <v>302</v>
      </c>
      <c r="F101" t="s">
        <v>326</v>
      </c>
      <c r="G101" t="s">
        <v>304</v>
      </c>
      <c r="H101" t="s">
        <v>314</v>
      </c>
      <c r="I101" t="s">
        <v>523</v>
      </c>
      <c r="J101">
        <v>17</v>
      </c>
      <c r="K101">
        <v>49354</v>
      </c>
      <c r="L101">
        <v>5500</v>
      </c>
      <c r="M101">
        <v>18</v>
      </c>
      <c r="N101">
        <v>4</v>
      </c>
      <c r="O101">
        <v>4.4000000000000004</v>
      </c>
      <c r="P101" t="s">
        <v>66</v>
      </c>
      <c r="Q101" t="s">
        <v>40</v>
      </c>
      <c r="R101" t="s">
        <v>324</v>
      </c>
      <c r="S101" t="s">
        <v>320</v>
      </c>
      <c r="T101" t="s">
        <v>341</v>
      </c>
      <c r="U101">
        <v>3</v>
      </c>
      <c r="V101">
        <v>29</v>
      </c>
      <c r="W101">
        <v>3651</v>
      </c>
      <c r="X101">
        <v>93703</v>
      </c>
      <c r="Y101" t="s">
        <v>310</v>
      </c>
    </row>
    <row r="102" spans="1:25" x14ac:dyDescent="0.25">
      <c r="A102">
        <v>101</v>
      </c>
      <c r="B102" t="s">
        <v>524</v>
      </c>
      <c r="C102" t="s">
        <v>30</v>
      </c>
      <c r="D102">
        <v>28</v>
      </c>
      <c r="E102" t="s">
        <v>302</v>
      </c>
      <c r="F102" t="s">
        <v>312</v>
      </c>
      <c r="G102" t="s">
        <v>313</v>
      </c>
      <c r="H102" t="s">
        <v>314</v>
      </c>
      <c r="I102" t="s">
        <v>525</v>
      </c>
      <c r="J102">
        <v>20</v>
      </c>
      <c r="K102">
        <v>50992</v>
      </c>
      <c r="L102">
        <v>7021</v>
      </c>
      <c r="M102">
        <v>13</v>
      </c>
      <c r="N102">
        <v>3</v>
      </c>
      <c r="O102">
        <v>3.8</v>
      </c>
      <c r="P102" t="s">
        <v>49</v>
      </c>
      <c r="Q102" t="s">
        <v>27</v>
      </c>
      <c r="R102" t="s">
        <v>324</v>
      </c>
      <c r="S102" t="s">
        <v>308</v>
      </c>
      <c r="T102" t="s">
        <v>328</v>
      </c>
      <c r="U102">
        <v>6</v>
      </c>
      <c r="V102">
        <v>15</v>
      </c>
      <c r="W102">
        <v>3036</v>
      </c>
      <c r="X102">
        <v>82185</v>
      </c>
      <c r="Y102" t="s">
        <v>310</v>
      </c>
    </row>
    <row r="103" spans="1:25" x14ac:dyDescent="0.25">
      <c r="A103">
        <v>102</v>
      </c>
      <c r="B103" t="s">
        <v>526</v>
      </c>
      <c r="C103" t="s">
        <v>30</v>
      </c>
      <c r="D103">
        <v>46</v>
      </c>
      <c r="E103" t="s">
        <v>302</v>
      </c>
      <c r="F103" t="s">
        <v>332</v>
      </c>
      <c r="G103" t="s">
        <v>313</v>
      </c>
      <c r="H103" t="s">
        <v>314</v>
      </c>
      <c r="I103" t="s">
        <v>527</v>
      </c>
      <c r="J103">
        <v>4</v>
      </c>
      <c r="K103">
        <v>57526</v>
      </c>
      <c r="L103">
        <v>3004</v>
      </c>
      <c r="M103">
        <v>2</v>
      </c>
      <c r="N103">
        <v>0</v>
      </c>
      <c r="O103">
        <v>4.2</v>
      </c>
      <c r="P103" t="s">
        <v>27</v>
      </c>
      <c r="Q103" t="s">
        <v>40</v>
      </c>
      <c r="R103" t="s">
        <v>307</v>
      </c>
      <c r="S103" t="s">
        <v>308</v>
      </c>
      <c r="T103" t="s">
        <v>341</v>
      </c>
      <c r="U103">
        <v>5</v>
      </c>
      <c r="V103">
        <v>22</v>
      </c>
      <c r="W103">
        <v>9849</v>
      </c>
      <c r="X103">
        <v>54073</v>
      </c>
      <c r="Y103" t="s">
        <v>310</v>
      </c>
    </row>
    <row r="104" spans="1:25" x14ac:dyDescent="0.25">
      <c r="A104">
        <v>103</v>
      </c>
      <c r="B104" t="s">
        <v>528</v>
      </c>
      <c r="C104" t="s">
        <v>30</v>
      </c>
      <c r="D104">
        <v>22</v>
      </c>
      <c r="E104" t="s">
        <v>318</v>
      </c>
      <c r="F104" t="s">
        <v>312</v>
      </c>
      <c r="G104" t="s">
        <v>313</v>
      </c>
      <c r="H104" t="s">
        <v>305</v>
      </c>
      <c r="I104" t="s">
        <v>418</v>
      </c>
      <c r="J104">
        <v>16</v>
      </c>
      <c r="K104">
        <v>83043</v>
      </c>
      <c r="L104">
        <v>6384</v>
      </c>
      <c r="M104">
        <v>10</v>
      </c>
      <c r="N104">
        <v>3</v>
      </c>
      <c r="O104">
        <v>4</v>
      </c>
      <c r="P104" t="s">
        <v>66</v>
      </c>
      <c r="Q104" t="s">
        <v>49</v>
      </c>
      <c r="R104" t="s">
        <v>324</v>
      </c>
      <c r="S104" t="s">
        <v>320</v>
      </c>
      <c r="T104" t="s">
        <v>404</v>
      </c>
      <c r="U104">
        <v>3</v>
      </c>
      <c r="V104">
        <v>18</v>
      </c>
      <c r="W104">
        <v>345</v>
      </c>
      <c r="X104">
        <v>71710</v>
      </c>
      <c r="Y104" t="s">
        <v>310</v>
      </c>
    </row>
    <row r="105" spans="1:25" x14ac:dyDescent="0.25">
      <c r="A105">
        <v>104</v>
      </c>
      <c r="B105" t="s">
        <v>529</v>
      </c>
      <c r="C105" t="s">
        <v>30</v>
      </c>
      <c r="D105">
        <v>51</v>
      </c>
      <c r="E105" t="s">
        <v>302</v>
      </c>
      <c r="F105" t="s">
        <v>303</v>
      </c>
      <c r="G105" t="s">
        <v>304</v>
      </c>
      <c r="H105" t="s">
        <v>305</v>
      </c>
      <c r="I105" t="s">
        <v>530</v>
      </c>
      <c r="J105">
        <v>13</v>
      </c>
      <c r="K105">
        <v>60866</v>
      </c>
      <c r="L105">
        <v>7803</v>
      </c>
      <c r="M105">
        <v>18</v>
      </c>
      <c r="N105">
        <v>3</v>
      </c>
      <c r="O105">
        <v>4.5</v>
      </c>
      <c r="P105" t="s">
        <v>27</v>
      </c>
      <c r="Q105" t="s">
        <v>40</v>
      </c>
      <c r="R105" t="s">
        <v>324</v>
      </c>
      <c r="S105" t="s">
        <v>320</v>
      </c>
      <c r="T105" t="s">
        <v>336</v>
      </c>
      <c r="U105">
        <v>2</v>
      </c>
      <c r="V105">
        <v>17</v>
      </c>
      <c r="W105">
        <v>786</v>
      </c>
      <c r="X105">
        <v>89621</v>
      </c>
      <c r="Y105" t="s">
        <v>310</v>
      </c>
    </row>
    <row r="106" spans="1:25" x14ac:dyDescent="0.25">
      <c r="A106">
        <v>105</v>
      </c>
      <c r="B106" t="s">
        <v>531</v>
      </c>
      <c r="C106" t="s">
        <v>30</v>
      </c>
      <c r="D106">
        <v>36</v>
      </c>
      <c r="E106" t="s">
        <v>318</v>
      </c>
      <c r="F106" t="s">
        <v>332</v>
      </c>
      <c r="G106" t="s">
        <v>304</v>
      </c>
      <c r="H106" t="s">
        <v>305</v>
      </c>
      <c r="I106" t="s">
        <v>532</v>
      </c>
      <c r="J106">
        <v>17</v>
      </c>
      <c r="K106">
        <v>89431</v>
      </c>
      <c r="L106">
        <v>7155</v>
      </c>
      <c r="M106">
        <v>0</v>
      </c>
      <c r="N106">
        <v>5</v>
      </c>
      <c r="O106">
        <v>4.5999999999999996</v>
      </c>
      <c r="P106" t="s">
        <v>27</v>
      </c>
      <c r="Q106" t="s">
        <v>27</v>
      </c>
      <c r="R106" t="s">
        <v>324</v>
      </c>
      <c r="S106" t="s">
        <v>308</v>
      </c>
      <c r="T106" t="s">
        <v>341</v>
      </c>
      <c r="U106">
        <v>5</v>
      </c>
      <c r="V106">
        <v>25</v>
      </c>
      <c r="W106">
        <v>4732</v>
      </c>
      <c r="X106">
        <v>40327</v>
      </c>
      <c r="Y106" t="s">
        <v>310</v>
      </c>
    </row>
    <row r="107" spans="1:25" x14ac:dyDescent="0.25">
      <c r="A107">
        <v>106</v>
      </c>
      <c r="B107" t="s">
        <v>533</v>
      </c>
      <c r="C107" t="s">
        <v>30</v>
      </c>
      <c r="D107">
        <v>35</v>
      </c>
      <c r="E107" t="s">
        <v>302</v>
      </c>
      <c r="F107" t="s">
        <v>347</v>
      </c>
      <c r="G107" t="s">
        <v>304</v>
      </c>
      <c r="H107" t="s">
        <v>305</v>
      </c>
      <c r="I107" t="s">
        <v>534</v>
      </c>
      <c r="J107">
        <v>2</v>
      </c>
      <c r="K107">
        <v>40472</v>
      </c>
      <c r="L107">
        <v>7632</v>
      </c>
      <c r="M107">
        <v>2</v>
      </c>
      <c r="N107">
        <v>4</v>
      </c>
      <c r="O107">
        <v>4.2</v>
      </c>
      <c r="P107" t="s">
        <v>66</v>
      </c>
      <c r="Q107" t="s">
        <v>40</v>
      </c>
      <c r="R107" t="s">
        <v>307</v>
      </c>
      <c r="S107" t="s">
        <v>320</v>
      </c>
      <c r="T107" t="s">
        <v>328</v>
      </c>
      <c r="U107">
        <v>0</v>
      </c>
      <c r="V107">
        <v>30</v>
      </c>
      <c r="W107">
        <v>8609</v>
      </c>
      <c r="X107">
        <v>82593</v>
      </c>
      <c r="Y107" t="s">
        <v>310</v>
      </c>
    </row>
    <row r="108" spans="1:25" x14ac:dyDescent="0.25">
      <c r="A108">
        <v>107</v>
      </c>
      <c r="B108" t="s">
        <v>535</v>
      </c>
      <c r="C108" t="s">
        <v>43</v>
      </c>
      <c r="D108">
        <v>35</v>
      </c>
      <c r="E108" t="s">
        <v>318</v>
      </c>
      <c r="F108" t="s">
        <v>326</v>
      </c>
      <c r="G108" t="s">
        <v>313</v>
      </c>
      <c r="H108" t="s">
        <v>305</v>
      </c>
      <c r="I108" t="s">
        <v>536</v>
      </c>
      <c r="J108">
        <v>15</v>
      </c>
      <c r="K108">
        <v>74176</v>
      </c>
      <c r="L108">
        <v>7474</v>
      </c>
      <c r="M108">
        <v>2</v>
      </c>
      <c r="N108">
        <v>4</v>
      </c>
      <c r="O108">
        <v>4.5999999999999996</v>
      </c>
      <c r="P108" t="s">
        <v>66</v>
      </c>
      <c r="Q108" t="s">
        <v>40</v>
      </c>
      <c r="R108" t="s">
        <v>307</v>
      </c>
      <c r="S108" t="s">
        <v>308</v>
      </c>
      <c r="T108" t="s">
        <v>328</v>
      </c>
      <c r="U108">
        <v>7</v>
      </c>
      <c r="V108">
        <v>19</v>
      </c>
      <c r="W108">
        <v>4812</v>
      </c>
      <c r="X108">
        <v>73149</v>
      </c>
      <c r="Y108" t="s">
        <v>310</v>
      </c>
    </row>
    <row r="109" spans="1:25" x14ac:dyDescent="0.25">
      <c r="A109">
        <v>108</v>
      </c>
      <c r="B109" t="s">
        <v>537</v>
      </c>
      <c r="C109" t="s">
        <v>43</v>
      </c>
      <c r="D109">
        <v>40</v>
      </c>
      <c r="E109" t="s">
        <v>318</v>
      </c>
      <c r="F109" t="s">
        <v>312</v>
      </c>
      <c r="G109" t="s">
        <v>304</v>
      </c>
      <c r="H109" t="s">
        <v>305</v>
      </c>
      <c r="I109" t="s">
        <v>538</v>
      </c>
      <c r="J109">
        <v>10</v>
      </c>
      <c r="K109">
        <v>41669</v>
      </c>
      <c r="L109">
        <v>5626</v>
      </c>
      <c r="M109">
        <v>15</v>
      </c>
      <c r="N109">
        <v>1</v>
      </c>
      <c r="O109">
        <v>4.7</v>
      </c>
      <c r="P109" t="s">
        <v>49</v>
      </c>
      <c r="Q109" t="s">
        <v>27</v>
      </c>
      <c r="R109" t="s">
        <v>307</v>
      </c>
      <c r="S109" t="s">
        <v>320</v>
      </c>
      <c r="T109" t="s">
        <v>404</v>
      </c>
      <c r="U109">
        <v>3</v>
      </c>
      <c r="V109">
        <v>20</v>
      </c>
      <c r="W109">
        <v>3298</v>
      </c>
      <c r="X109">
        <v>62556</v>
      </c>
      <c r="Y109" t="s">
        <v>310</v>
      </c>
    </row>
    <row r="110" spans="1:25" x14ac:dyDescent="0.25">
      <c r="A110">
        <v>109</v>
      </c>
      <c r="B110" t="s">
        <v>539</v>
      </c>
      <c r="C110" t="s">
        <v>30</v>
      </c>
      <c r="D110">
        <v>43</v>
      </c>
      <c r="E110" t="s">
        <v>302</v>
      </c>
      <c r="F110" t="s">
        <v>303</v>
      </c>
      <c r="G110" t="s">
        <v>304</v>
      </c>
      <c r="H110" t="s">
        <v>305</v>
      </c>
      <c r="I110" t="s">
        <v>540</v>
      </c>
      <c r="J110">
        <v>13</v>
      </c>
      <c r="K110">
        <v>42476</v>
      </c>
      <c r="L110">
        <v>6335</v>
      </c>
      <c r="M110">
        <v>0</v>
      </c>
      <c r="N110">
        <v>3</v>
      </c>
      <c r="O110">
        <v>4.2</v>
      </c>
      <c r="P110" t="s">
        <v>49</v>
      </c>
      <c r="Q110" t="s">
        <v>49</v>
      </c>
      <c r="R110" t="s">
        <v>324</v>
      </c>
      <c r="S110" t="s">
        <v>320</v>
      </c>
      <c r="T110" t="s">
        <v>321</v>
      </c>
      <c r="U110">
        <v>6</v>
      </c>
      <c r="V110">
        <v>29</v>
      </c>
      <c r="W110">
        <v>8129</v>
      </c>
      <c r="X110">
        <v>71210</v>
      </c>
      <c r="Y110" t="s">
        <v>310</v>
      </c>
    </row>
    <row r="111" spans="1:25" x14ac:dyDescent="0.25">
      <c r="A111">
        <v>110</v>
      </c>
      <c r="B111" t="s">
        <v>541</v>
      </c>
      <c r="C111" t="s">
        <v>43</v>
      </c>
      <c r="D111">
        <v>31</v>
      </c>
      <c r="E111" t="s">
        <v>318</v>
      </c>
      <c r="F111" t="s">
        <v>347</v>
      </c>
      <c r="G111" t="s">
        <v>313</v>
      </c>
      <c r="H111" t="s">
        <v>305</v>
      </c>
      <c r="I111" t="s">
        <v>542</v>
      </c>
      <c r="J111">
        <v>9</v>
      </c>
      <c r="K111">
        <v>89022</v>
      </c>
      <c r="L111">
        <v>5771</v>
      </c>
      <c r="M111">
        <v>5</v>
      </c>
      <c r="N111">
        <v>0</v>
      </c>
      <c r="O111">
        <v>4.9000000000000004</v>
      </c>
      <c r="P111" t="s">
        <v>49</v>
      </c>
      <c r="Q111" t="s">
        <v>40</v>
      </c>
      <c r="R111" t="s">
        <v>307</v>
      </c>
      <c r="S111" t="s">
        <v>308</v>
      </c>
      <c r="T111" t="s">
        <v>383</v>
      </c>
      <c r="U111">
        <v>4</v>
      </c>
      <c r="V111">
        <v>28</v>
      </c>
      <c r="W111">
        <v>5085</v>
      </c>
      <c r="X111">
        <v>56187</v>
      </c>
      <c r="Y111" t="s">
        <v>310</v>
      </c>
    </row>
    <row r="112" spans="1:25" x14ac:dyDescent="0.25">
      <c r="A112">
        <v>111</v>
      </c>
      <c r="B112" t="s">
        <v>543</v>
      </c>
      <c r="C112" t="s">
        <v>30</v>
      </c>
      <c r="D112">
        <v>39</v>
      </c>
      <c r="E112" t="s">
        <v>318</v>
      </c>
      <c r="F112" t="s">
        <v>312</v>
      </c>
      <c r="G112" t="s">
        <v>313</v>
      </c>
      <c r="H112" t="s">
        <v>314</v>
      </c>
      <c r="I112" t="s">
        <v>544</v>
      </c>
      <c r="J112">
        <v>8</v>
      </c>
      <c r="K112">
        <v>54753</v>
      </c>
      <c r="L112">
        <v>3945</v>
      </c>
      <c r="M112">
        <v>15</v>
      </c>
      <c r="N112">
        <v>0</v>
      </c>
      <c r="O112">
        <v>4.7</v>
      </c>
      <c r="P112" t="s">
        <v>27</v>
      </c>
      <c r="Q112" t="s">
        <v>40</v>
      </c>
      <c r="R112" t="s">
        <v>307</v>
      </c>
      <c r="S112" t="s">
        <v>320</v>
      </c>
      <c r="T112" t="s">
        <v>309</v>
      </c>
      <c r="U112">
        <v>8</v>
      </c>
      <c r="V112">
        <v>25</v>
      </c>
      <c r="W112">
        <v>8175</v>
      </c>
      <c r="X112">
        <v>59260</v>
      </c>
      <c r="Y112" t="s">
        <v>310</v>
      </c>
    </row>
    <row r="113" spans="1:25" x14ac:dyDescent="0.25">
      <c r="A113">
        <v>112</v>
      </c>
      <c r="B113" t="s">
        <v>545</v>
      </c>
      <c r="C113" t="s">
        <v>30</v>
      </c>
      <c r="D113">
        <v>48</v>
      </c>
      <c r="E113" t="s">
        <v>318</v>
      </c>
      <c r="F113" t="s">
        <v>303</v>
      </c>
      <c r="G113" t="s">
        <v>304</v>
      </c>
      <c r="H113" t="s">
        <v>314</v>
      </c>
      <c r="I113" t="s">
        <v>546</v>
      </c>
      <c r="J113">
        <v>6</v>
      </c>
      <c r="K113">
        <v>60071</v>
      </c>
      <c r="L113">
        <v>6529</v>
      </c>
      <c r="M113">
        <v>18</v>
      </c>
      <c r="N113">
        <v>2</v>
      </c>
      <c r="O113">
        <v>3.7</v>
      </c>
      <c r="P113" t="s">
        <v>27</v>
      </c>
      <c r="Q113" t="s">
        <v>27</v>
      </c>
      <c r="R113" t="s">
        <v>307</v>
      </c>
      <c r="S113" t="s">
        <v>320</v>
      </c>
      <c r="T113" t="s">
        <v>336</v>
      </c>
      <c r="U113">
        <v>7</v>
      </c>
      <c r="V113">
        <v>19</v>
      </c>
      <c r="W113">
        <v>8068</v>
      </c>
      <c r="X113">
        <v>68494</v>
      </c>
      <c r="Y113" t="s">
        <v>310</v>
      </c>
    </row>
    <row r="114" spans="1:25" x14ac:dyDescent="0.25">
      <c r="A114">
        <v>113</v>
      </c>
      <c r="B114" t="s">
        <v>547</v>
      </c>
      <c r="C114" t="s">
        <v>43</v>
      </c>
      <c r="D114">
        <v>23</v>
      </c>
      <c r="E114" t="s">
        <v>318</v>
      </c>
      <c r="F114" t="s">
        <v>347</v>
      </c>
      <c r="G114" t="s">
        <v>304</v>
      </c>
      <c r="H114" t="s">
        <v>314</v>
      </c>
      <c r="I114" t="s">
        <v>548</v>
      </c>
      <c r="J114">
        <v>14</v>
      </c>
      <c r="K114">
        <v>35473</v>
      </c>
      <c r="L114">
        <v>3724</v>
      </c>
      <c r="M114">
        <v>9</v>
      </c>
      <c r="N114">
        <v>2</v>
      </c>
      <c r="O114">
        <v>4.3</v>
      </c>
      <c r="P114" t="s">
        <v>27</v>
      </c>
      <c r="Q114" t="s">
        <v>49</v>
      </c>
      <c r="R114" t="s">
        <v>324</v>
      </c>
      <c r="S114" t="s">
        <v>308</v>
      </c>
      <c r="T114" t="s">
        <v>336</v>
      </c>
      <c r="U114">
        <v>8</v>
      </c>
      <c r="V114">
        <v>16</v>
      </c>
      <c r="W114">
        <v>967</v>
      </c>
      <c r="X114">
        <v>41023</v>
      </c>
      <c r="Y114" t="s">
        <v>310</v>
      </c>
    </row>
    <row r="115" spans="1:25" x14ac:dyDescent="0.25">
      <c r="A115">
        <v>114</v>
      </c>
      <c r="B115" t="s">
        <v>549</v>
      </c>
      <c r="C115" t="s">
        <v>30</v>
      </c>
      <c r="D115">
        <v>49</v>
      </c>
      <c r="E115" t="s">
        <v>302</v>
      </c>
      <c r="F115" t="s">
        <v>347</v>
      </c>
      <c r="G115" t="s">
        <v>313</v>
      </c>
      <c r="H115" t="s">
        <v>305</v>
      </c>
      <c r="I115" t="s">
        <v>550</v>
      </c>
      <c r="J115">
        <v>8</v>
      </c>
      <c r="K115">
        <v>54516</v>
      </c>
      <c r="L115">
        <v>2030</v>
      </c>
      <c r="M115">
        <v>1</v>
      </c>
      <c r="N115">
        <v>3</v>
      </c>
      <c r="O115">
        <v>3.7</v>
      </c>
      <c r="P115" t="s">
        <v>66</v>
      </c>
      <c r="Q115" t="s">
        <v>49</v>
      </c>
      <c r="R115" t="s">
        <v>324</v>
      </c>
      <c r="S115" t="s">
        <v>308</v>
      </c>
      <c r="T115" t="s">
        <v>309</v>
      </c>
      <c r="U115">
        <v>8</v>
      </c>
      <c r="V115">
        <v>25</v>
      </c>
      <c r="W115">
        <v>1998</v>
      </c>
      <c r="X115">
        <v>95860</v>
      </c>
      <c r="Y115" t="s">
        <v>310</v>
      </c>
    </row>
    <row r="116" spans="1:25" x14ac:dyDescent="0.25">
      <c r="A116">
        <v>115</v>
      </c>
      <c r="B116" t="s">
        <v>551</v>
      </c>
      <c r="C116" t="s">
        <v>43</v>
      </c>
      <c r="D116">
        <v>59</v>
      </c>
      <c r="E116" t="s">
        <v>318</v>
      </c>
      <c r="F116" t="s">
        <v>312</v>
      </c>
      <c r="G116" t="s">
        <v>304</v>
      </c>
      <c r="H116" t="s">
        <v>314</v>
      </c>
      <c r="I116" t="s">
        <v>552</v>
      </c>
      <c r="J116">
        <v>1</v>
      </c>
      <c r="K116">
        <v>70978</v>
      </c>
      <c r="L116">
        <v>2376</v>
      </c>
      <c r="M116">
        <v>9</v>
      </c>
      <c r="N116">
        <v>4</v>
      </c>
      <c r="O116">
        <v>4.9000000000000004</v>
      </c>
      <c r="P116" t="s">
        <v>27</v>
      </c>
      <c r="Q116" t="s">
        <v>27</v>
      </c>
      <c r="R116" t="s">
        <v>324</v>
      </c>
      <c r="S116" t="s">
        <v>320</v>
      </c>
      <c r="T116" t="s">
        <v>383</v>
      </c>
      <c r="U116">
        <v>1</v>
      </c>
      <c r="V116">
        <v>23</v>
      </c>
      <c r="W116">
        <v>1113</v>
      </c>
      <c r="X116">
        <v>67780</v>
      </c>
      <c r="Y116" t="s">
        <v>310</v>
      </c>
    </row>
    <row r="117" spans="1:25" x14ac:dyDescent="0.25">
      <c r="A117">
        <v>116</v>
      </c>
      <c r="B117" t="s">
        <v>553</v>
      </c>
      <c r="C117" t="s">
        <v>30</v>
      </c>
      <c r="D117">
        <v>48</v>
      </c>
      <c r="E117" t="s">
        <v>302</v>
      </c>
      <c r="F117" t="s">
        <v>347</v>
      </c>
      <c r="G117" t="s">
        <v>304</v>
      </c>
      <c r="H117" t="s">
        <v>314</v>
      </c>
      <c r="I117" t="s">
        <v>554</v>
      </c>
      <c r="J117">
        <v>12</v>
      </c>
      <c r="K117">
        <v>36764</v>
      </c>
      <c r="L117">
        <v>6883</v>
      </c>
      <c r="M117">
        <v>13</v>
      </c>
      <c r="N117">
        <v>5</v>
      </c>
      <c r="O117">
        <v>4.3</v>
      </c>
      <c r="P117" t="s">
        <v>49</v>
      </c>
      <c r="Q117" t="s">
        <v>27</v>
      </c>
      <c r="R117" t="s">
        <v>324</v>
      </c>
      <c r="S117" t="s">
        <v>320</v>
      </c>
      <c r="T117" t="s">
        <v>336</v>
      </c>
      <c r="U117">
        <v>4</v>
      </c>
      <c r="V117">
        <v>18</v>
      </c>
      <c r="W117">
        <v>1908</v>
      </c>
      <c r="X117">
        <v>70863</v>
      </c>
      <c r="Y117" t="s">
        <v>310</v>
      </c>
    </row>
    <row r="118" spans="1:25" x14ac:dyDescent="0.25">
      <c r="A118">
        <v>117</v>
      </c>
      <c r="B118" t="s">
        <v>555</v>
      </c>
      <c r="C118" t="s">
        <v>43</v>
      </c>
      <c r="D118">
        <v>31</v>
      </c>
      <c r="E118" t="s">
        <v>302</v>
      </c>
      <c r="F118" t="s">
        <v>332</v>
      </c>
      <c r="G118" t="s">
        <v>304</v>
      </c>
      <c r="H118" t="s">
        <v>305</v>
      </c>
      <c r="I118" t="s">
        <v>556</v>
      </c>
      <c r="J118">
        <v>1</v>
      </c>
      <c r="K118">
        <v>44130</v>
      </c>
      <c r="L118">
        <v>6585</v>
      </c>
      <c r="M118">
        <v>12</v>
      </c>
      <c r="N118">
        <v>2</v>
      </c>
      <c r="O118">
        <v>4.7</v>
      </c>
      <c r="P118" t="s">
        <v>66</v>
      </c>
      <c r="Q118" t="s">
        <v>49</v>
      </c>
      <c r="R118" t="s">
        <v>324</v>
      </c>
      <c r="S118" t="s">
        <v>320</v>
      </c>
      <c r="T118" t="s">
        <v>321</v>
      </c>
      <c r="U118">
        <v>3</v>
      </c>
      <c r="V118">
        <v>23</v>
      </c>
      <c r="W118">
        <v>9610</v>
      </c>
      <c r="X118">
        <v>67286</v>
      </c>
      <c r="Y118" t="s">
        <v>310</v>
      </c>
    </row>
    <row r="119" spans="1:25" x14ac:dyDescent="0.25">
      <c r="A119">
        <v>118</v>
      </c>
      <c r="B119" t="s">
        <v>557</v>
      </c>
      <c r="C119" t="s">
        <v>43</v>
      </c>
      <c r="D119">
        <v>50</v>
      </c>
      <c r="E119" t="s">
        <v>302</v>
      </c>
      <c r="F119" t="s">
        <v>303</v>
      </c>
      <c r="G119" t="s">
        <v>313</v>
      </c>
      <c r="H119" t="s">
        <v>305</v>
      </c>
      <c r="I119" t="s">
        <v>558</v>
      </c>
      <c r="J119">
        <v>12</v>
      </c>
      <c r="K119">
        <v>87347</v>
      </c>
      <c r="L119">
        <v>7068</v>
      </c>
      <c r="M119">
        <v>12</v>
      </c>
      <c r="N119">
        <v>5</v>
      </c>
      <c r="O119">
        <v>4.8</v>
      </c>
      <c r="P119" t="s">
        <v>27</v>
      </c>
      <c r="Q119" t="s">
        <v>27</v>
      </c>
      <c r="R119" t="s">
        <v>324</v>
      </c>
      <c r="S119" t="s">
        <v>308</v>
      </c>
      <c r="T119" t="s">
        <v>404</v>
      </c>
      <c r="U119">
        <v>3</v>
      </c>
      <c r="V119">
        <v>15</v>
      </c>
      <c r="W119">
        <v>7715</v>
      </c>
      <c r="X119">
        <v>67353</v>
      </c>
      <c r="Y119" t="s">
        <v>310</v>
      </c>
    </row>
    <row r="120" spans="1:25" x14ac:dyDescent="0.25">
      <c r="A120">
        <v>119</v>
      </c>
      <c r="B120" t="s">
        <v>559</v>
      </c>
      <c r="C120" t="s">
        <v>43</v>
      </c>
      <c r="D120">
        <v>58</v>
      </c>
      <c r="E120" t="s">
        <v>318</v>
      </c>
      <c r="F120" t="s">
        <v>312</v>
      </c>
      <c r="G120" t="s">
        <v>313</v>
      </c>
      <c r="H120" t="s">
        <v>305</v>
      </c>
      <c r="I120" t="s">
        <v>560</v>
      </c>
      <c r="J120">
        <v>15</v>
      </c>
      <c r="K120">
        <v>42050</v>
      </c>
      <c r="L120">
        <v>2023</v>
      </c>
      <c r="M120">
        <v>3</v>
      </c>
      <c r="N120">
        <v>3</v>
      </c>
      <c r="O120">
        <v>4.7</v>
      </c>
      <c r="P120" t="s">
        <v>49</v>
      </c>
      <c r="Q120" t="s">
        <v>49</v>
      </c>
      <c r="R120" t="s">
        <v>307</v>
      </c>
      <c r="S120" t="s">
        <v>308</v>
      </c>
      <c r="T120" t="s">
        <v>328</v>
      </c>
      <c r="U120">
        <v>6</v>
      </c>
      <c r="V120">
        <v>18</v>
      </c>
      <c r="W120">
        <v>2782</v>
      </c>
      <c r="X120">
        <v>89617</v>
      </c>
      <c r="Y120" t="s">
        <v>310</v>
      </c>
    </row>
    <row r="121" spans="1:25" x14ac:dyDescent="0.25">
      <c r="A121">
        <v>120</v>
      </c>
      <c r="B121" t="s">
        <v>561</v>
      </c>
      <c r="C121" t="s">
        <v>30</v>
      </c>
      <c r="D121">
        <v>36</v>
      </c>
      <c r="E121" t="s">
        <v>302</v>
      </c>
      <c r="F121" t="s">
        <v>332</v>
      </c>
      <c r="G121" t="s">
        <v>313</v>
      </c>
      <c r="H121" t="s">
        <v>305</v>
      </c>
      <c r="I121" t="s">
        <v>562</v>
      </c>
      <c r="J121">
        <v>22</v>
      </c>
      <c r="K121">
        <v>78564</v>
      </c>
      <c r="L121">
        <v>6217</v>
      </c>
      <c r="M121">
        <v>15</v>
      </c>
      <c r="N121">
        <v>2</v>
      </c>
      <c r="O121">
        <v>3.7</v>
      </c>
      <c r="P121" t="s">
        <v>27</v>
      </c>
      <c r="Q121" t="s">
        <v>40</v>
      </c>
      <c r="R121" t="s">
        <v>324</v>
      </c>
      <c r="S121" t="s">
        <v>320</v>
      </c>
      <c r="T121" t="s">
        <v>316</v>
      </c>
      <c r="U121">
        <v>0</v>
      </c>
      <c r="V121">
        <v>21</v>
      </c>
      <c r="W121">
        <v>9329</v>
      </c>
      <c r="X121">
        <v>41046</v>
      </c>
      <c r="Y121" t="s">
        <v>310</v>
      </c>
    </row>
    <row r="122" spans="1:25" x14ac:dyDescent="0.25">
      <c r="A122">
        <v>121</v>
      </c>
      <c r="B122" t="s">
        <v>563</v>
      </c>
      <c r="C122" t="s">
        <v>30</v>
      </c>
      <c r="D122">
        <v>35</v>
      </c>
      <c r="E122" t="s">
        <v>302</v>
      </c>
      <c r="F122" t="s">
        <v>347</v>
      </c>
      <c r="G122" t="s">
        <v>313</v>
      </c>
      <c r="H122" t="s">
        <v>305</v>
      </c>
      <c r="I122" t="s">
        <v>564</v>
      </c>
      <c r="J122">
        <v>16</v>
      </c>
      <c r="K122">
        <v>48470</v>
      </c>
      <c r="L122">
        <v>5873</v>
      </c>
      <c r="M122">
        <v>6</v>
      </c>
      <c r="N122">
        <v>2</v>
      </c>
      <c r="O122">
        <v>3.5</v>
      </c>
      <c r="P122" t="s">
        <v>49</v>
      </c>
      <c r="Q122" t="s">
        <v>27</v>
      </c>
      <c r="R122" t="s">
        <v>324</v>
      </c>
      <c r="S122" t="s">
        <v>320</v>
      </c>
      <c r="T122" t="s">
        <v>309</v>
      </c>
      <c r="U122">
        <v>3</v>
      </c>
      <c r="V122">
        <v>30</v>
      </c>
      <c r="W122">
        <v>1882</v>
      </c>
      <c r="X122">
        <v>44875</v>
      </c>
      <c r="Y122" t="s">
        <v>310</v>
      </c>
    </row>
    <row r="123" spans="1:25" x14ac:dyDescent="0.25">
      <c r="A123">
        <v>122</v>
      </c>
      <c r="B123" t="s">
        <v>565</v>
      </c>
      <c r="C123" t="s">
        <v>43</v>
      </c>
      <c r="D123">
        <v>44</v>
      </c>
      <c r="E123" t="s">
        <v>302</v>
      </c>
      <c r="F123" t="s">
        <v>326</v>
      </c>
      <c r="G123" t="s">
        <v>304</v>
      </c>
      <c r="H123" t="s">
        <v>314</v>
      </c>
      <c r="I123" t="s">
        <v>566</v>
      </c>
      <c r="J123">
        <v>15</v>
      </c>
      <c r="K123">
        <v>75808</v>
      </c>
      <c r="L123">
        <v>2336</v>
      </c>
      <c r="M123">
        <v>1</v>
      </c>
      <c r="N123">
        <v>0</v>
      </c>
      <c r="O123">
        <v>4</v>
      </c>
      <c r="P123" t="s">
        <v>49</v>
      </c>
      <c r="Q123" t="s">
        <v>49</v>
      </c>
      <c r="R123" t="s">
        <v>324</v>
      </c>
      <c r="S123" t="s">
        <v>320</v>
      </c>
      <c r="T123" t="s">
        <v>404</v>
      </c>
      <c r="U123">
        <v>7</v>
      </c>
      <c r="V123">
        <v>15</v>
      </c>
      <c r="W123">
        <v>516</v>
      </c>
      <c r="X123">
        <v>80014</v>
      </c>
      <c r="Y123" t="s">
        <v>310</v>
      </c>
    </row>
    <row r="124" spans="1:25" x14ac:dyDescent="0.25">
      <c r="A124">
        <v>123</v>
      </c>
      <c r="B124" t="s">
        <v>567</v>
      </c>
      <c r="C124" t="s">
        <v>30</v>
      </c>
      <c r="D124">
        <v>50</v>
      </c>
      <c r="E124" t="s">
        <v>302</v>
      </c>
      <c r="F124" t="s">
        <v>347</v>
      </c>
      <c r="G124" t="s">
        <v>304</v>
      </c>
      <c r="H124" t="s">
        <v>305</v>
      </c>
      <c r="I124" t="s">
        <v>568</v>
      </c>
      <c r="J124">
        <v>7</v>
      </c>
      <c r="K124">
        <v>80309</v>
      </c>
      <c r="L124">
        <v>7231</v>
      </c>
      <c r="M124">
        <v>10</v>
      </c>
      <c r="N124">
        <v>5</v>
      </c>
      <c r="O124">
        <v>4.7</v>
      </c>
      <c r="P124" t="s">
        <v>49</v>
      </c>
      <c r="Q124" t="s">
        <v>27</v>
      </c>
      <c r="R124" t="s">
        <v>324</v>
      </c>
      <c r="S124" t="s">
        <v>320</v>
      </c>
      <c r="T124" t="s">
        <v>328</v>
      </c>
      <c r="U124">
        <v>1</v>
      </c>
      <c r="V124">
        <v>22</v>
      </c>
      <c r="W124">
        <v>9040</v>
      </c>
      <c r="X124">
        <v>94275</v>
      </c>
      <c r="Y124" t="s">
        <v>310</v>
      </c>
    </row>
    <row r="125" spans="1:25" x14ac:dyDescent="0.25">
      <c r="A125">
        <v>124</v>
      </c>
      <c r="B125" t="s">
        <v>569</v>
      </c>
      <c r="C125" t="s">
        <v>43</v>
      </c>
      <c r="D125">
        <v>24</v>
      </c>
      <c r="E125" t="s">
        <v>318</v>
      </c>
      <c r="F125" t="s">
        <v>332</v>
      </c>
      <c r="G125" t="s">
        <v>313</v>
      </c>
      <c r="H125" t="s">
        <v>314</v>
      </c>
      <c r="I125" t="s">
        <v>570</v>
      </c>
      <c r="J125">
        <v>8</v>
      </c>
      <c r="K125">
        <v>75135</v>
      </c>
      <c r="L125">
        <v>4774</v>
      </c>
      <c r="M125">
        <v>10</v>
      </c>
      <c r="N125">
        <v>1</v>
      </c>
      <c r="O125">
        <v>4.9000000000000004</v>
      </c>
      <c r="P125" t="s">
        <v>49</v>
      </c>
      <c r="Q125" t="s">
        <v>40</v>
      </c>
      <c r="R125" t="s">
        <v>307</v>
      </c>
      <c r="S125" t="s">
        <v>320</v>
      </c>
      <c r="T125" t="s">
        <v>336</v>
      </c>
      <c r="U125">
        <v>6</v>
      </c>
      <c r="V125">
        <v>27</v>
      </c>
      <c r="W125">
        <v>7230</v>
      </c>
      <c r="X125">
        <v>61002</v>
      </c>
      <c r="Y125" t="s">
        <v>310</v>
      </c>
    </row>
    <row r="126" spans="1:25" x14ac:dyDescent="0.25">
      <c r="A126">
        <v>125</v>
      </c>
      <c r="B126" t="s">
        <v>571</v>
      </c>
      <c r="C126" t="s">
        <v>43</v>
      </c>
      <c r="D126">
        <v>39</v>
      </c>
      <c r="E126" t="s">
        <v>318</v>
      </c>
      <c r="F126" t="s">
        <v>347</v>
      </c>
      <c r="G126" t="s">
        <v>304</v>
      </c>
      <c r="H126" t="s">
        <v>305</v>
      </c>
      <c r="I126" t="s">
        <v>572</v>
      </c>
      <c r="J126">
        <v>3</v>
      </c>
      <c r="K126">
        <v>74563</v>
      </c>
      <c r="L126">
        <v>6654</v>
      </c>
      <c r="M126">
        <v>15</v>
      </c>
      <c r="N126">
        <v>5</v>
      </c>
      <c r="O126">
        <v>4.5999999999999996</v>
      </c>
      <c r="P126" t="s">
        <v>27</v>
      </c>
      <c r="Q126" t="s">
        <v>49</v>
      </c>
      <c r="R126" t="s">
        <v>324</v>
      </c>
      <c r="S126" t="s">
        <v>320</v>
      </c>
      <c r="T126" t="s">
        <v>336</v>
      </c>
      <c r="U126">
        <v>8</v>
      </c>
      <c r="V126">
        <v>21</v>
      </c>
      <c r="W126">
        <v>5032</v>
      </c>
      <c r="X126">
        <v>61081</v>
      </c>
      <c r="Y126" t="s">
        <v>310</v>
      </c>
    </row>
    <row r="127" spans="1:25" x14ac:dyDescent="0.25">
      <c r="A127">
        <v>126</v>
      </c>
      <c r="B127" t="s">
        <v>573</v>
      </c>
      <c r="C127" t="s">
        <v>43</v>
      </c>
      <c r="D127">
        <v>42</v>
      </c>
      <c r="E127" t="s">
        <v>318</v>
      </c>
      <c r="F127" t="s">
        <v>303</v>
      </c>
      <c r="G127" t="s">
        <v>313</v>
      </c>
      <c r="H127" t="s">
        <v>305</v>
      </c>
      <c r="I127" t="s">
        <v>574</v>
      </c>
      <c r="J127">
        <v>24</v>
      </c>
      <c r="K127">
        <v>83092</v>
      </c>
      <c r="L127">
        <v>2929</v>
      </c>
      <c r="M127">
        <v>16</v>
      </c>
      <c r="N127">
        <v>1</v>
      </c>
      <c r="O127">
        <v>4.0999999999999996</v>
      </c>
      <c r="P127" t="s">
        <v>27</v>
      </c>
      <c r="Q127" t="s">
        <v>40</v>
      </c>
      <c r="R127" t="s">
        <v>307</v>
      </c>
      <c r="S127" t="s">
        <v>308</v>
      </c>
      <c r="T127" t="s">
        <v>383</v>
      </c>
      <c r="U127">
        <v>0</v>
      </c>
      <c r="V127">
        <v>25</v>
      </c>
      <c r="W127">
        <v>8725</v>
      </c>
      <c r="X127">
        <v>46750</v>
      </c>
      <c r="Y127" t="s">
        <v>310</v>
      </c>
    </row>
    <row r="128" spans="1:25" x14ac:dyDescent="0.25">
      <c r="A128">
        <v>127</v>
      </c>
      <c r="B128" t="s">
        <v>575</v>
      </c>
      <c r="C128" t="s">
        <v>30</v>
      </c>
      <c r="D128">
        <v>42</v>
      </c>
      <c r="E128" t="s">
        <v>302</v>
      </c>
      <c r="F128" t="s">
        <v>332</v>
      </c>
      <c r="G128" t="s">
        <v>313</v>
      </c>
      <c r="H128" t="s">
        <v>305</v>
      </c>
      <c r="I128" t="s">
        <v>576</v>
      </c>
      <c r="J128">
        <v>24</v>
      </c>
      <c r="K128">
        <v>73973</v>
      </c>
      <c r="L128">
        <v>3890</v>
      </c>
      <c r="M128">
        <v>5</v>
      </c>
      <c r="N128">
        <v>0</v>
      </c>
      <c r="O128">
        <v>3.7</v>
      </c>
      <c r="P128" t="s">
        <v>66</v>
      </c>
      <c r="Q128" t="s">
        <v>27</v>
      </c>
      <c r="R128" t="s">
        <v>307</v>
      </c>
      <c r="S128" t="s">
        <v>308</v>
      </c>
      <c r="T128" t="s">
        <v>316</v>
      </c>
      <c r="U128">
        <v>8</v>
      </c>
      <c r="V128">
        <v>28</v>
      </c>
      <c r="W128">
        <v>1423</v>
      </c>
      <c r="X128">
        <v>97146</v>
      </c>
      <c r="Y128" t="s">
        <v>310</v>
      </c>
    </row>
    <row r="129" spans="1:25" x14ac:dyDescent="0.25">
      <c r="A129">
        <v>128</v>
      </c>
      <c r="B129" t="s">
        <v>577</v>
      </c>
      <c r="C129" t="s">
        <v>30</v>
      </c>
      <c r="D129">
        <v>48</v>
      </c>
      <c r="E129" t="s">
        <v>302</v>
      </c>
      <c r="F129" t="s">
        <v>332</v>
      </c>
      <c r="G129" t="s">
        <v>304</v>
      </c>
      <c r="H129" t="s">
        <v>314</v>
      </c>
      <c r="I129" t="s">
        <v>578</v>
      </c>
      <c r="J129">
        <v>2</v>
      </c>
      <c r="K129">
        <v>44086</v>
      </c>
      <c r="L129">
        <v>6417</v>
      </c>
      <c r="M129">
        <v>15</v>
      </c>
      <c r="N129">
        <v>1</v>
      </c>
      <c r="O129">
        <v>4.9000000000000004</v>
      </c>
      <c r="P129" t="s">
        <v>66</v>
      </c>
      <c r="Q129" t="s">
        <v>40</v>
      </c>
      <c r="R129" t="s">
        <v>307</v>
      </c>
      <c r="S129" t="s">
        <v>320</v>
      </c>
      <c r="T129" t="s">
        <v>328</v>
      </c>
      <c r="U129">
        <v>2</v>
      </c>
      <c r="V129">
        <v>19</v>
      </c>
      <c r="W129">
        <v>4771</v>
      </c>
      <c r="X129">
        <v>58740</v>
      </c>
      <c r="Y129" t="s">
        <v>310</v>
      </c>
    </row>
    <row r="130" spans="1:25" x14ac:dyDescent="0.25">
      <c r="A130">
        <v>129</v>
      </c>
      <c r="B130" t="s">
        <v>579</v>
      </c>
      <c r="C130" t="s">
        <v>30</v>
      </c>
      <c r="D130">
        <v>42</v>
      </c>
      <c r="E130" t="s">
        <v>302</v>
      </c>
      <c r="F130" t="s">
        <v>303</v>
      </c>
      <c r="G130" t="s">
        <v>304</v>
      </c>
      <c r="H130" t="s">
        <v>305</v>
      </c>
      <c r="I130" t="s">
        <v>580</v>
      </c>
      <c r="J130">
        <v>13</v>
      </c>
      <c r="K130">
        <v>55754</v>
      </c>
      <c r="L130">
        <v>3903</v>
      </c>
      <c r="M130">
        <v>3</v>
      </c>
      <c r="N130">
        <v>4</v>
      </c>
      <c r="O130">
        <v>3.9</v>
      </c>
      <c r="P130" t="s">
        <v>49</v>
      </c>
      <c r="Q130" t="s">
        <v>40</v>
      </c>
      <c r="R130" t="s">
        <v>307</v>
      </c>
      <c r="S130" t="s">
        <v>320</v>
      </c>
      <c r="T130" t="s">
        <v>336</v>
      </c>
      <c r="U130">
        <v>7</v>
      </c>
      <c r="V130">
        <v>17</v>
      </c>
      <c r="W130">
        <v>7872</v>
      </c>
      <c r="X130">
        <v>61889</v>
      </c>
      <c r="Y130" t="s">
        <v>310</v>
      </c>
    </row>
    <row r="131" spans="1:25" x14ac:dyDescent="0.25">
      <c r="A131">
        <v>130</v>
      </c>
      <c r="B131" t="s">
        <v>581</v>
      </c>
      <c r="C131" t="s">
        <v>43</v>
      </c>
      <c r="D131">
        <v>34</v>
      </c>
      <c r="E131" t="s">
        <v>318</v>
      </c>
      <c r="F131" t="s">
        <v>332</v>
      </c>
      <c r="G131" t="s">
        <v>313</v>
      </c>
      <c r="H131" t="s">
        <v>305</v>
      </c>
      <c r="I131" t="s">
        <v>582</v>
      </c>
      <c r="J131">
        <v>12</v>
      </c>
      <c r="K131">
        <v>39203</v>
      </c>
      <c r="L131">
        <v>7606</v>
      </c>
      <c r="M131">
        <v>4</v>
      </c>
      <c r="N131">
        <v>0</v>
      </c>
      <c r="O131">
        <v>3.8</v>
      </c>
      <c r="P131" t="s">
        <v>27</v>
      </c>
      <c r="Q131" t="s">
        <v>49</v>
      </c>
      <c r="R131" t="s">
        <v>307</v>
      </c>
      <c r="S131" t="s">
        <v>308</v>
      </c>
      <c r="T131" t="s">
        <v>383</v>
      </c>
      <c r="U131">
        <v>0</v>
      </c>
      <c r="V131">
        <v>30</v>
      </c>
      <c r="W131">
        <v>3642</v>
      </c>
      <c r="X131">
        <v>42561</v>
      </c>
      <c r="Y131" t="s">
        <v>310</v>
      </c>
    </row>
    <row r="132" spans="1:25" x14ac:dyDescent="0.25">
      <c r="A132">
        <v>131</v>
      </c>
      <c r="B132" t="s">
        <v>583</v>
      </c>
      <c r="C132" t="s">
        <v>43</v>
      </c>
      <c r="D132">
        <v>53</v>
      </c>
      <c r="E132" t="s">
        <v>302</v>
      </c>
      <c r="F132" t="s">
        <v>326</v>
      </c>
      <c r="G132" t="s">
        <v>304</v>
      </c>
      <c r="H132" t="s">
        <v>314</v>
      </c>
      <c r="I132" t="s">
        <v>584</v>
      </c>
      <c r="J132">
        <v>15</v>
      </c>
      <c r="K132">
        <v>52820</v>
      </c>
      <c r="L132">
        <v>2837</v>
      </c>
      <c r="M132">
        <v>11</v>
      </c>
      <c r="N132">
        <v>3</v>
      </c>
      <c r="O132">
        <v>4.4000000000000004</v>
      </c>
      <c r="P132" t="s">
        <v>27</v>
      </c>
      <c r="Q132" t="s">
        <v>49</v>
      </c>
      <c r="R132" t="s">
        <v>324</v>
      </c>
      <c r="S132" t="s">
        <v>320</v>
      </c>
      <c r="T132" t="s">
        <v>336</v>
      </c>
      <c r="U132">
        <v>5</v>
      </c>
      <c r="V132">
        <v>17</v>
      </c>
      <c r="W132">
        <v>3903</v>
      </c>
      <c r="X132">
        <v>59924</v>
      </c>
      <c r="Y132" t="s">
        <v>310</v>
      </c>
    </row>
    <row r="133" spans="1:25" x14ac:dyDescent="0.25">
      <c r="A133">
        <v>132</v>
      </c>
      <c r="B133" t="s">
        <v>585</v>
      </c>
      <c r="C133" t="s">
        <v>30</v>
      </c>
      <c r="D133">
        <v>57</v>
      </c>
      <c r="E133" t="s">
        <v>302</v>
      </c>
      <c r="F133" t="s">
        <v>332</v>
      </c>
      <c r="G133" t="s">
        <v>304</v>
      </c>
      <c r="H133" t="s">
        <v>305</v>
      </c>
      <c r="I133" t="s">
        <v>586</v>
      </c>
      <c r="J133">
        <v>17</v>
      </c>
      <c r="K133">
        <v>75374</v>
      </c>
      <c r="L133">
        <v>4629</v>
      </c>
      <c r="M133">
        <v>4</v>
      </c>
      <c r="N133">
        <v>1</v>
      </c>
      <c r="O133">
        <v>4.2</v>
      </c>
      <c r="P133" t="s">
        <v>27</v>
      </c>
      <c r="Q133" t="s">
        <v>40</v>
      </c>
      <c r="R133" t="s">
        <v>307</v>
      </c>
      <c r="S133" t="s">
        <v>320</v>
      </c>
      <c r="T133" t="s">
        <v>321</v>
      </c>
      <c r="U133">
        <v>7</v>
      </c>
      <c r="V133">
        <v>22</v>
      </c>
      <c r="W133">
        <v>7961</v>
      </c>
      <c r="X133">
        <v>43039</v>
      </c>
      <c r="Y133" t="s">
        <v>310</v>
      </c>
    </row>
    <row r="134" spans="1:25" x14ac:dyDescent="0.25">
      <c r="A134">
        <v>133</v>
      </c>
      <c r="B134" t="s">
        <v>587</v>
      </c>
      <c r="C134" t="s">
        <v>30</v>
      </c>
      <c r="D134">
        <v>39</v>
      </c>
      <c r="E134" t="s">
        <v>302</v>
      </c>
      <c r="F134" t="s">
        <v>312</v>
      </c>
      <c r="G134" t="s">
        <v>304</v>
      </c>
      <c r="H134" t="s">
        <v>314</v>
      </c>
      <c r="I134" t="s">
        <v>588</v>
      </c>
      <c r="J134">
        <v>1</v>
      </c>
      <c r="K134">
        <v>45125</v>
      </c>
      <c r="L134">
        <v>2316</v>
      </c>
      <c r="M134">
        <v>20</v>
      </c>
      <c r="N134">
        <v>1</v>
      </c>
      <c r="O134">
        <v>4.4000000000000004</v>
      </c>
      <c r="P134" t="s">
        <v>27</v>
      </c>
      <c r="Q134" t="s">
        <v>40</v>
      </c>
      <c r="R134" t="s">
        <v>307</v>
      </c>
      <c r="S134" t="s">
        <v>308</v>
      </c>
      <c r="T134" t="s">
        <v>404</v>
      </c>
      <c r="U134">
        <v>0</v>
      </c>
      <c r="V134">
        <v>30</v>
      </c>
      <c r="W134">
        <v>6329</v>
      </c>
      <c r="X134">
        <v>64393</v>
      </c>
      <c r="Y134" t="s">
        <v>310</v>
      </c>
    </row>
    <row r="135" spans="1:25" x14ac:dyDescent="0.25">
      <c r="A135">
        <v>134</v>
      </c>
      <c r="B135" t="s">
        <v>589</v>
      </c>
      <c r="C135" t="s">
        <v>43</v>
      </c>
      <c r="D135">
        <v>47</v>
      </c>
      <c r="E135" t="s">
        <v>302</v>
      </c>
      <c r="F135" t="s">
        <v>347</v>
      </c>
      <c r="G135" t="s">
        <v>313</v>
      </c>
      <c r="H135" t="s">
        <v>305</v>
      </c>
      <c r="I135" t="s">
        <v>454</v>
      </c>
      <c r="J135">
        <v>12</v>
      </c>
      <c r="K135">
        <v>41565</v>
      </c>
      <c r="L135">
        <v>5708</v>
      </c>
      <c r="M135">
        <v>10</v>
      </c>
      <c r="N135">
        <v>1</v>
      </c>
      <c r="O135">
        <v>4.7</v>
      </c>
      <c r="P135" t="s">
        <v>27</v>
      </c>
      <c r="Q135" t="s">
        <v>27</v>
      </c>
      <c r="R135" t="s">
        <v>324</v>
      </c>
      <c r="S135" t="s">
        <v>308</v>
      </c>
      <c r="T135" t="s">
        <v>404</v>
      </c>
      <c r="U135">
        <v>2</v>
      </c>
      <c r="V135">
        <v>21</v>
      </c>
      <c r="W135">
        <v>7363</v>
      </c>
      <c r="X135">
        <v>93930</v>
      </c>
      <c r="Y135" t="s">
        <v>310</v>
      </c>
    </row>
    <row r="136" spans="1:25" x14ac:dyDescent="0.25">
      <c r="A136">
        <v>135</v>
      </c>
      <c r="B136" t="s">
        <v>590</v>
      </c>
      <c r="C136" t="s">
        <v>43</v>
      </c>
      <c r="D136">
        <v>35</v>
      </c>
      <c r="E136" t="s">
        <v>318</v>
      </c>
      <c r="F136" t="s">
        <v>326</v>
      </c>
      <c r="G136" t="s">
        <v>313</v>
      </c>
      <c r="H136" t="s">
        <v>314</v>
      </c>
      <c r="I136" t="s">
        <v>591</v>
      </c>
      <c r="J136">
        <v>21</v>
      </c>
      <c r="K136">
        <v>79853</v>
      </c>
      <c r="L136">
        <v>4728</v>
      </c>
      <c r="M136">
        <v>1</v>
      </c>
      <c r="N136">
        <v>2</v>
      </c>
      <c r="O136">
        <v>3.7</v>
      </c>
      <c r="P136" t="s">
        <v>27</v>
      </c>
      <c r="Q136" t="s">
        <v>40</v>
      </c>
      <c r="R136" t="s">
        <v>324</v>
      </c>
      <c r="S136" t="s">
        <v>320</v>
      </c>
      <c r="T136" t="s">
        <v>383</v>
      </c>
      <c r="U136">
        <v>6</v>
      </c>
      <c r="V136">
        <v>20</v>
      </c>
      <c r="W136">
        <v>1925</v>
      </c>
      <c r="X136">
        <v>96376</v>
      </c>
      <c r="Y136" t="s">
        <v>310</v>
      </c>
    </row>
    <row r="137" spans="1:25" x14ac:dyDescent="0.25">
      <c r="A137">
        <v>136</v>
      </c>
      <c r="B137" t="s">
        <v>592</v>
      </c>
      <c r="C137" t="s">
        <v>43</v>
      </c>
      <c r="D137">
        <v>38</v>
      </c>
      <c r="E137" t="s">
        <v>318</v>
      </c>
      <c r="F137" t="s">
        <v>326</v>
      </c>
      <c r="G137" t="s">
        <v>304</v>
      </c>
      <c r="H137" t="s">
        <v>314</v>
      </c>
      <c r="I137" t="s">
        <v>593</v>
      </c>
      <c r="J137">
        <v>14</v>
      </c>
      <c r="K137">
        <v>68634</v>
      </c>
      <c r="L137">
        <v>6362</v>
      </c>
      <c r="M137">
        <v>15</v>
      </c>
      <c r="N137">
        <v>5</v>
      </c>
      <c r="O137">
        <v>4.5999999999999996</v>
      </c>
      <c r="P137" t="s">
        <v>27</v>
      </c>
      <c r="Q137" t="s">
        <v>40</v>
      </c>
      <c r="R137" t="s">
        <v>324</v>
      </c>
      <c r="S137" t="s">
        <v>308</v>
      </c>
      <c r="T137" t="s">
        <v>336</v>
      </c>
      <c r="U137">
        <v>0</v>
      </c>
      <c r="V137">
        <v>17</v>
      </c>
      <c r="W137">
        <v>4273</v>
      </c>
      <c r="X137">
        <v>95770</v>
      </c>
      <c r="Y137" t="s">
        <v>310</v>
      </c>
    </row>
    <row r="138" spans="1:25" x14ac:dyDescent="0.25">
      <c r="A138">
        <v>137</v>
      </c>
      <c r="B138" t="s">
        <v>594</v>
      </c>
      <c r="C138" t="s">
        <v>43</v>
      </c>
      <c r="D138">
        <v>60</v>
      </c>
      <c r="E138" t="s">
        <v>302</v>
      </c>
      <c r="F138" t="s">
        <v>326</v>
      </c>
      <c r="G138" t="s">
        <v>304</v>
      </c>
      <c r="H138" t="s">
        <v>305</v>
      </c>
      <c r="I138" t="s">
        <v>595</v>
      </c>
      <c r="J138">
        <v>24</v>
      </c>
      <c r="K138">
        <v>83260</v>
      </c>
      <c r="L138">
        <v>5948</v>
      </c>
      <c r="M138">
        <v>10</v>
      </c>
      <c r="N138">
        <v>0</v>
      </c>
      <c r="O138">
        <v>4.7</v>
      </c>
      <c r="P138" t="s">
        <v>66</v>
      </c>
      <c r="Q138" t="s">
        <v>49</v>
      </c>
      <c r="R138" t="s">
        <v>307</v>
      </c>
      <c r="S138" t="s">
        <v>308</v>
      </c>
      <c r="T138" t="s">
        <v>341</v>
      </c>
      <c r="U138">
        <v>0</v>
      </c>
      <c r="V138">
        <v>16</v>
      </c>
      <c r="W138">
        <v>621</v>
      </c>
      <c r="X138">
        <v>42341</v>
      </c>
      <c r="Y138" t="s">
        <v>310</v>
      </c>
    </row>
    <row r="139" spans="1:25" x14ac:dyDescent="0.25">
      <c r="A139">
        <v>138</v>
      </c>
      <c r="B139" t="s">
        <v>596</v>
      </c>
      <c r="C139" t="s">
        <v>43</v>
      </c>
      <c r="D139">
        <v>57</v>
      </c>
      <c r="E139" t="s">
        <v>318</v>
      </c>
      <c r="F139" t="s">
        <v>326</v>
      </c>
      <c r="G139" t="s">
        <v>304</v>
      </c>
      <c r="H139" t="s">
        <v>314</v>
      </c>
      <c r="I139" t="s">
        <v>597</v>
      </c>
      <c r="J139">
        <v>10</v>
      </c>
      <c r="K139">
        <v>79047</v>
      </c>
      <c r="L139">
        <v>2485</v>
      </c>
      <c r="M139">
        <v>15</v>
      </c>
      <c r="N139">
        <v>2</v>
      </c>
      <c r="O139">
        <v>4.2</v>
      </c>
      <c r="P139" t="s">
        <v>27</v>
      </c>
      <c r="Q139" t="s">
        <v>27</v>
      </c>
      <c r="R139" t="s">
        <v>324</v>
      </c>
      <c r="S139" t="s">
        <v>308</v>
      </c>
      <c r="T139" t="s">
        <v>328</v>
      </c>
      <c r="U139">
        <v>7</v>
      </c>
      <c r="V139">
        <v>25</v>
      </c>
      <c r="W139">
        <v>6012</v>
      </c>
      <c r="X139">
        <v>97048</v>
      </c>
      <c r="Y139" t="s">
        <v>310</v>
      </c>
    </row>
    <row r="140" spans="1:25" x14ac:dyDescent="0.25">
      <c r="A140">
        <v>139</v>
      </c>
      <c r="B140" t="s">
        <v>598</v>
      </c>
      <c r="C140" t="s">
        <v>43</v>
      </c>
      <c r="D140">
        <v>46</v>
      </c>
      <c r="E140" t="s">
        <v>318</v>
      </c>
      <c r="F140" t="s">
        <v>326</v>
      </c>
      <c r="G140" t="s">
        <v>304</v>
      </c>
      <c r="H140" t="s">
        <v>314</v>
      </c>
      <c r="I140" t="s">
        <v>599</v>
      </c>
      <c r="J140">
        <v>3</v>
      </c>
      <c r="K140">
        <v>63701</v>
      </c>
      <c r="L140">
        <v>3185</v>
      </c>
      <c r="M140">
        <v>1</v>
      </c>
      <c r="N140">
        <v>4</v>
      </c>
      <c r="O140">
        <v>4.5999999999999996</v>
      </c>
      <c r="P140" t="s">
        <v>66</v>
      </c>
      <c r="Q140" t="s">
        <v>49</v>
      </c>
      <c r="R140" t="s">
        <v>324</v>
      </c>
      <c r="S140" t="s">
        <v>320</v>
      </c>
      <c r="T140" t="s">
        <v>316</v>
      </c>
      <c r="U140">
        <v>4</v>
      </c>
      <c r="V140">
        <v>30</v>
      </c>
      <c r="W140">
        <v>9055</v>
      </c>
      <c r="X140">
        <v>65115</v>
      </c>
      <c r="Y140" t="s">
        <v>310</v>
      </c>
    </row>
    <row r="141" spans="1:25" x14ac:dyDescent="0.25">
      <c r="A141">
        <v>140</v>
      </c>
      <c r="B141" t="s">
        <v>600</v>
      </c>
      <c r="C141" t="s">
        <v>30</v>
      </c>
      <c r="D141">
        <v>59</v>
      </c>
      <c r="E141" t="s">
        <v>318</v>
      </c>
      <c r="F141" t="s">
        <v>347</v>
      </c>
      <c r="G141" t="s">
        <v>313</v>
      </c>
      <c r="H141" t="s">
        <v>314</v>
      </c>
      <c r="I141" t="s">
        <v>601</v>
      </c>
      <c r="J141">
        <v>2</v>
      </c>
      <c r="K141">
        <v>67846</v>
      </c>
      <c r="L141">
        <v>4693</v>
      </c>
      <c r="M141">
        <v>10</v>
      </c>
      <c r="N141">
        <v>1</v>
      </c>
      <c r="O141">
        <v>4.4000000000000004</v>
      </c>
      <c r="P141" t="s">
        <v>66</v>
      </c>
      <c r="Q141" t="s">
        <v>49</v>
      </c>
      <c r="R141" t="s">
        <v>324</v>
      </c>
      <c r="S141" t="s">
        <v>308</v>
      </c>
      <c r="T141" t="s">
        <v>341</v>
      </c>
      <c r="U141">
        <v>0</v>
      </c>
      <c r="V141">
        <v>16</v>
      </c>
      <c r="W141">
        <v>1717</v>
      </c>
      <c r="X141">
        <v>80231</v>
      </c>
      <c r="Y141" t="s">
        <v>310</v>
      </c>
    </row>
    <row r="142" spans="1:25" x14ac:dyDescent="0.25">
      <c r="A142">
        <v>141</v>
      </c>
      <c r="B142" t="s">
        <v>602</v>
      </c>
      <c r="C142" t="s">
        <v>30</v>
      </c>
      <c r="D142">
        <v>59</v>
      </c>
      <c r="E142" t="s">
        <v>318</v>
      </c>
      <c r="F142" t="s">
        <v>312</v>
      </c>
      <c r="G142" t="s">
        <v>304</v>
      </c>
      <c r="H142" t="s">
        <v>305</v>
      </c>
      <c r="I142" t="s">
        <v>603</v>
      </c>
      <c r="J142">
        <v>24</v>
      </c>
      <c r="K142">
        <v>51060</v>
      </c>
      <c r="L142">
        <v>6991</v>
      </c>
      <c r="M142">
        <v>10</v>
      </c>
      <c r="N142">
        <v>0</v>
      </c>
      <c r="O142">
        <v>3.7</v>
      </c>
      <c r="P142" t="s">
        <v>27</v>
      </c>
      <c r="Q142" t="s">
        <v>49</v>
      </c>
      <c r="R142" t="s">
        <v>307</v>
      </c>
      <c r="S142" t="s">
        <v>308</v>
      </c>
      <c r="T142" t="s">
        <v>321</v>
      </c>
      <c r="U142">
        <v>8</v>
      </c>
      <c r="V142">
        <v>25</v>
      </c>
      <c r="W142">
        <v>1654</v>
      </c>
      <c r="X142">
        <v>95830</v>
      </c>
      <c r="Y142" t="s">
        <v>310</v>
      </c>
    </row>
    <row r="143" spans="1:25" x14ac:dyDescent="0.25">
      <c r="A143">
        <v>142</v>
      </c>
      <c r="B143" t="s">
        <v>604</v>
      </c>
      <c r="C143" t="s">
        <v>30</v>
      </c>
      <c r="D143">
        <v>55</v>
      </c>
      <c r="E143" t="s">
        <v>318</v>
      </c>
      <c r="F143" t="s">
        <v>303</v>
      </c>
      <c r="G143" t="s">
        <v>304</v>
      </c>
      <c r="H143" t="s">
        <v>305</v>
      </c>
      <c r="I143" t="s">
        <v>605</v>
      </c>
      <c r="J143">
        <v>21</v>
      </c>
      <c r="K143">
        <v>78722</v>
      </c>
      <c r="L143">
        <v>3508</v>
      </c>
      <c r="M143">
        <v>18</v>
      </c>
      <c r="N143">
        <v>3</v>
      </c>
      <c r="O143">
        <v>4.7</v>
      </c>
      <c r="P143" t="s">
        <v>27</v>
      </c>
      <c r="Q143" t="s">
        <v>27</v>
      </c>
      <c r="R143" t="s">
        <v>307</v>
      </c>
      <c r="S143" t="s">
        <v>308</v>
      </c>
      <c r="T143" t="s">
        <v>336</v>
      </c>
      <c r="U143">
        <v>0</v>
      </c>
      <c r="V143">
        <v>22</v>
      </c>
      <c r="W143">
        <v>8301</v>
      </c>
      <c r="X143">
        <v>70353</v>
      </c>
      <c r="Y143" t="s">
        <v>310</v>
      </c>
    </row>
    <row r="144" spans="1:25" x14ac:dyDescent="0.25">
      <c r="A144">
        <v>143</v>
      </c>
      <c r="B144" t="s">
        <v>606</v>
      </c>
      <c r="C144" t="s">
        <v>30</v>
      </c>
      <c r="D144">
        <v>57</v>
      </c>
      <c r="E144" t="s">
        <v>302</v>
      </c>
      <c r="F144" t="s">
        <v>326</v>
      </c>
      <c r="G144" t="s">
        <v>313</v>
      </c>
      <c r="H144" t="s">
        <v>305</v>
      </c>
      <c r="I144" t="s">
        <v>607</v>
      </c>
      <c r="J144">
        <v>1</v>
      </c>
      <c r="K144">
        <v>53974</v>
      </c>
      <c r="L144">
        <v>4915</v>
      </c>
      <c r="M144">
        <v>20</v>
      </c>
      <c r="N144">
        <v>3</v>
      </c>
      <c r="O144">
        <v>4</v>
      </c>
      <c r="P144" t="s">
        <v>49</v>
      </c>
      <c r="Q144" t="s">
        <v>49</v>
      </c>
      <c r="R144" t="s">
        <v>324</v>
      </c>
      <c r="S144" t="s">
        <v>320</v>
      </c>
      <c r="T144" t="s">
        <v>321</v>
      </c>
      <c r="U144">
        <v>2</v>
      </c>
      <c r="V144">
        <v>15</v>
      </c>
      <c r="W144">
        <v>9486</v>
      </c>
      <c r="X144">
        <v>63185</v>
      </c>
      <c r="Y144" t="s">
        <v>310</v>
      </c>
    </row>
    <row r="145" spans="1:25" x14ac:dyDescent="0.25">
      <c r="A145">
        <v>144</v>
      </c>
      <c r="B145" t="s">
        <v>608</v>
      </c>
      <c r="C145" t="s">
        <v>30</v>
      </c>
      <c r="D145">
        <v>26</v>
      </c>
      <c r="E145" t="s">
        <v>302</v>
      </c>
      <c r="F145" t="s">
        <v>303</v>
      </c>
      <c r="G145" t="s">
        <v>304</v>
      </c>
      <c r="H145" t="s">
        <v>305</v>
      </c>
      <c r="I145" t="s">
        <v>609</v>
      </c>
      <c r="J145">
        <v>7</v>
      </c>
      <c r="K145">
        <v>70656</v>
      </c>
      <c r="L145">
        <v>5543</v>
      </c>
      <c r="M145">
        <v>8</v>
      </c>
      <c r="N145">
        <v>5</v>
      </c>
      <c r="O145">
        <v>4.5999999999999996</v>
      </c>
      <c r="P145" t="s">
        <v>49</v>
      </c>
      <c r="Q145" t="s">
        <v>40</v>
      </c>
      <c r="R145" t="s">
        <v>324</v>
      </c>
      <c r="S145" t="s">
        <v>308</v>
      </c>
      <c r="T145" t="s">
        <v>309</v>
      </c>
      <c r="U145">
        <v>7</v>
      </c>
      <c r="V145">
        <v>27</v>
      </c>
      <c r="W145">
        <v>2403</v>
      </c>
      <c r="X145">
        <v>61978</v>
      </c>
      <c r="Y145" t="s">
        <v>310</v>
      </c>
    </row>
    <row r="146" spans="1:25" x14ac:dyDescent="0.25">
      <c r="A146">
        <v>145</v>
      </c>
      <c r="B146" t="s">
        <v>610</v>
      </c>
      <c r="C146" t="s">
        <v>43</v>
      </c>
      <c r="D146">
        <v>35</v>
      </c>
      <c r="E146" t="s">
        <v>302</v>
      </c>
      <c r="F146" t="s">
        <v>326</v>
      </c>
      <c r="G146" t="s">
        <v>304</v>
      </c>
      <c r="H146" t="s">
        <v>314</v>
      </c>
      <c r="I146" t="s">
        <v>611</v>
      </c>
      <c r="J146">
        <v>23</v>
      </c>
      <c r="K146">
        <v>36612</v>
      </c>
      <c r="L146">
        <v>5028</v>
      </c>
      <c r="M146">
        <v>10</v>
      </c>
      <c r="N146">
        <v>5</v>
      </c>
      <c r="O146">
        <v>4.5</v>
      </c>
      <c r="P146" t="s">
        <v>27</v>
      </c>
      <c r="Q146" t="s">
        <v>27</v>
      </c>
      <c r="R146" t="s">
        <v>324</v>
      </c>
      <c r="S146" t="s">
        <v>320</v>
      </c>
      <c r="T146" t="s">
        <v>316</v>
      </c>
      <c r="U146">
        <v>5</v>
      </c>
      <c r="V146">
        <v>16</v>
      </c>
      <c r="W146">
        <v>6175</v>
      </c>
      <c r="X146">
        <v>85298</v>
      </c>
      <c r="Y146" t="s">
        <v>310</v>
      </c>
    </row>
    <row r="147" spans="1:25" x14ac:dyDescent="0.25">
      <c r="A147">
        <v>146</v>
      </c>
      <c r="B147" t="s">
        <v>612</v>
      </c>
      <c r="C147" t="s">
        <v>43</v>
      </c>
      <c r="D147">
        <v>60</v>
      </c>
      <c r="E147" t="s">
        <v>318</v>
      </c>
      <c r="F147" t="s">
        <v>312</v>
      </c>
      <c r="G147" t="s">
        <v>304</v>
      </c>
      <c r="H147" t="s">
        <v>314</v>
      </c>
      <c r="I147" t="s">
        <v>613</v>
      </c>
      <c r="J147">
        <v>3</v>
      </c>
      <c r="K147">
        <v>68696</v>
      </c>
      <c r="L147">
        <v>3582</v>
      </c>
      <c r="M147">
        <v>1</v>
      </c>
      <c r="N147">
        <v>3</v>
      </c>
      <c r="O147">
        <v>4.4000000000000004</v>
      </c>
      <c r="P147" t="s">
        <v>66</v>
      </c>
      <c r="Q147" t="s">
        <v>40</v>
      </c>
      <c r="R147" t="s">
        <v>324</v>
      </c>
      <c r="S147" t="s">
        <v>320</v>
      </c>
      <c r="T147" t="s">
        <v>316</v>
      </c>
      <c r="U147">
        <v>4</v>
      </c>
      <c r="V147">
        <v>24</v>
      </c>
      <c r="W147">
        <v>9077</v>
      </c>
      <c r="X147">
        <v>67741</v>
      </c>
      <c r="Y147" t="s">
        <v>310</v>
      </c>
    </row>
    <row r="148" spans="1:25" x14ac:dyDescent="0.25">
      <c r="A148">
        <v>147</v>
      </c>
      <c r="B148" t="s">
        <v>614</v>
      </c>
      <c r="C148" t="s">
        <v>43</v>
      </c>
      <c r="D148">
        <v>32</v>
      </c>
      <c r="E148" t="s">
        <v>318</v>
      </c>
      <c r="F148" t="s">
        <v>326</v>
      </c>
      <c r="G148" t="s">
        <v>313</v>
      </c>
      <c r="H148" t="s">
        <v>314</v>
      </c>
      <c r="I148" t="s">
        <v>615</v>
      </c>
      <c r="J148">
        <v>25</v>
      </c>
      <c r="K148">
        <v>38321</v>
      </c>
      <c r="L148">
        <v>2177</v>
      </c>
      <c r="M148">
        <v>3</v>
      </c>
      <c r="N148">
        <v>5</v>
      </c>
      <c r="O148">
        <v>4.9000000000000004</v>
      </c>
      <c r="P148" t="s">
        <v>27</v>
      </c>
      <c r="Q148" t="s">
        <v>27</v>
      </c>
      <c r="R148" t="s">
        <v>324</v>
      </c>
      <c r="S148" t="s">
        <v>308</v>
      </c>
      <c r="T148" t="s">
        <v>328</v>
      </c>
      <c r="U148">
        <v>1</v>
      </c>
      <c r="V148">
        <v>21</v>
      </c>
      <c r="W148">
        <v>2399</v>
      </c>
      <c r="X148">
        <v>50799</v>
      </c>
      <c r="Y148" t="s">
        <v>310</v>
      </c>
    </row>
    <row r="149" spans="1:25" x14ac:dyDescent="0.25">
      <c r="A149">
        <v>148</v>
      </c>
      <c r="B149" t="s">
        <v>616</v>
      </c>
      <c r="C149" t="s">
        <v>43</v>
      </c>
      <c r="D149">
        <v>58</v>
      </c>
      <c r="E149" t="s">
        <v>302</v>
      </c>
      <c r="F149" t="s">
        <v>347</v>
      </c>
      <c r="G149" t="s">
        <v>313</v>
      </c>
      <c r="H149" t="s">
        <v>314</v>
      </c>
      <c r="I149" t="s">
        <v>617</v>
      </c>
      <c r="J149">
        <v>8</v>
      </c>
      <c r="K149">
        <v>88591</v>
      </c>
      <c r="L149">
        <v>6447</v>
      </c>
      <c r="M149">
        <v>3</v>
      </c>
      <c r="N149">
        <v>5</v>
      </c>
      <c r="O149">
        <v>4.0999999999999996</v>
      </c>
      <c r="P149" t="s">
        <v>49</v>
      </c>
      <c r="Q149" t="s">
        <v>49</v>
      </c>
      <c r="R149" t="s">
        <v>307</v>
      </c>
      <c r="S149" t="s">
        <v>308</v>
      </c>
      <c r="T149" t="s">
        <v>336</v>
      </c>
      <c r="U149">
        <v>1</v>
      </c>
      <c r="V149">
        <v>16</v>
      </c>
      <c r="W149">
        <v>3541</v>
      </c>
      <c r="X149">
        <v>53652</v>
      </c>
      <c r="Y149" t="s">
        <v>310</v>
      </c>
    </row>
    <row r="150" spans="1:25" x14ac:dyDescent="0.25">
      <c r="A150">
        <v>149</v>
      </c>
      <c r="B150" t="s">
        <v>618</v>
      </c>
      <c r="C150" t="s">
        <v>30</v>
      </c>
      <c r="D150">
        <v>36</v>
      </c>
      <c r="E150" t="s">
        <v>318</v>
      </c>
      <c r="F150" t="s">
        <v>303</v>
      </c>
      <c r="G150" t="s">
        <v>304</v>
      </c>
      <c r="H150" t="s">
        <v>314</v>
      </c>
      <c r="I150" t="s">
        <v>619</v>
      </c>
      <c r="J150">
        <v>3</v>
      </c>
      <c r="K150">
        <v>59887</v>
      </c>
      <c r="L150">
        <v>6269</v>
      </c>
      <c r="M150">
        <v>10</v>
      </c>
      <c r="N150">
        <v>1</v>
      </c>
      <c r="O150">
        <v>4.3</v>
      </c>
      <c r="P150" t="s">
        <v>66</v>
      </c>
      <c r="Q150" t="s">
        <v>27</v>
      </c>
      <c r="R150" t="s">
        <v>324</v>
      </c>
      <c r="S150" t="s">
        <v>320</v>
      </c>
      <c r="T150" t="s">
        <v>321</v>
      </c>
      <c r="U150">
        <v>1</v>
      </c>
      <c r="V150">
        <v>29</v>
      </c>
      <c r="W150">
        <v>6244</v>
      </c>
      <c r="X150">
        <v>87778</v>
      </c>
      <c r="Y150" t="s">
        <v>310</v>
      </c>
    </row>
    <row r="151" spans="1:25" x14ac:dyDescent="0.25">
      <c r="A151">
        <v>150</v>
      </c>
      <c r="B151" t="s">
        <v>620</v>
      </c>
      <c r="C151" t="s">
        <v>30</v>
      </c>
      <c r="D151">
        <v>23</v>
      </c>
      <c r="E151" t="s">
        <v>302</v>
      </c>
      <c r="F151" t="s">
        <v>312</v>
      </c>
      <c r="G151" t="s">
        <v>313</v>
      </c>
      <c r="H151" t="s">
        <v>314</v>
      </c>
      <c r="I151" t="s">
        <v>621</v>
      </c>
      <c r="J151">
        <v>9</v>
      </c>
      <c r="K151">
        <v>47314</v>
      </c>
      <c r="L151">
        <v>6430</v>
      </c>
      <c r="M151">
        <v>5</v>
      </c>
      <c r="N151">
        <v>0</v>
      </c>
      <c r="O151">
        <v>4.5999999999999996</v>
      </c>
      <c r="P151" t="s">
        <v>27</v>
      </c>
      <c r="Q151" t="s">
        <v>40</v>
      </c>
      <c r="R151" t="s">
        <v>307</v>
      </c>
      <c r="S151" t="s">
        <v>308</v>
      </c>
      <c r="T151" t="s">
        <v>336</v>
      </c>
      <c r="U151">
        <v>3</v>
      </c>
      <c r="V151">
        <v>15</v>
      </c>
      <c r="W151">
        <v>3196</v>
      </c>
      <c r="X151">
        <v>52287</v>
      </c>
      <c r="Y151" t="s">
        <v>310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4</v>
      </c>
      <c r="E1" t="s">
        <v>622</v>
      </c>
      <c r="F1" t="s">
        <v>26</v>
      </c>
      <c r="G1" t="s">
        <v>623</v>
      </c>
      <c r="H1" t="s">
        <v>624</v>
      </c>
      <c r="I1" t="s">
        <v>15</v>
      </c>
      <c r="J1" t="s">
        <v>625</v>
      </c>
      <c r="K1" t="s">
        <v>626</v>
      </c>
      <c r="L1" t="s">
        <v>627</v>
      </c>
      <c r="M1" t="s">
        <v>628</v>
      </c>
      <c r="N1" t="s">
        <v>629</v>
      </c>
      <c r="O1" t="s">
        <v>630</v>
      </c>
      <c r="P1" t="s">
        <v>631</v>
      </c>
      <c r="Q1" t="s">
        <v>23</v>
      </c>
      <c r="R1" t="s">
        <v>632</v>
      </c>
      <c r="S1" t="s">
        <v>633</v>
      </c>
      <c r="T1" t="s">
        <v>634</v>
      </c>
      <c r="U1" t="s">
        <v>24</v>
      </c>
      <c r="V1" t="s">
        <v>7</v>
      </c>
      <c r="W1" t="s">
        <v>8</v>
      </c>
      <c r="X1" t="s">
        <v>635</v>
      </c>
      <c r="Y1" t="s">
        <v>636</v>
      </c>
    </row>
    <row r="2" spans="1:25" x14ac:dyDescent="0.25">
      <c r="A2">
        <v>1</v>
      </c>
      <c r="B2" t="s">
        <v>25</v>
      </c>
      <c r="C2">
        <v>2026</v>
      </c>
      <c r="D2">
        <v>1</v>
      </c>
      <c r="E2" t="s">
        <v>312</v>
      </c>
      <c r="F2" t="s">
        <v>637</v>
      </c>
      <c r="G2" t="s">
        <v>638</v>
      </c>
      <c r="H2" t="s">
        <v>20</v>
      </c>
      <c r="I2" t="s">
        <v>639</v>
      </c>
      <c r="J2" t="s">
        <v>640</v>
      </c>
      <c r="K2" t="s">
        <v>641</v>
      </c>
      <c r="L2" t="s">
        <v>642</v>
      </c>
      <c r="M2">
        <v>82391</v>
      </c>
      <c r="N2">
        <v>13182.56</v>
      </c>
      <c r="O2">
        <v>0</v>
      </c>
      <c r="P2">
        <v>95573.56</v>
      </c>
      <c r="Q2" t="s">
        <v>643</v>
      </c>
      <c r="R2" t="s">
        <v>644</v>
      </c>
      <c r="S2" t="s">
        <v>645</v>
      </c>
      <c r="T2" t="s">
        <v>75</v>
      </c>
      <c r="U2" t="s">
        <v>646</v>
      </c>
      <c r="V2" t="s">
        <v>49</v>
      </c>
      <c r="W2" t="s">
        <v>27</v>
      </c>
      <c r="Y2" t="s">
        <v>647</v>
      </c>
    </row>
    <row r="3" spans="1:25" x14ac:dyDescent="0.25">
      <c r="A3">
        <v>2</v>
      </c>
      <c r="B3" t="s">
        <v>38</v>
      </c>
      <c r="C3">
        <v>2026</v>
      </c>
      <c r="D3">
        <v>1</v>
      </c>
      <c r="E3" t="s">
        <v>326</v>
      </c>
      <c r="F3" t="s">
        <v>637</v>
      </c>
      <c r="G3" t="s">
        <v>648</v>
      </c>
      <c r="H3" t="s">
        <v>649</v>
      </c>
      <c r="I3" t="s">
        <v>650</v>
      </c>
      <c r="J3" t="s">
        <v>59</v>
      </c>
      <c r="K3" t="s">
        <v>651</v>
      </c>
      <c r="L3" t="s">
        <v>642</v>
      </c>
      <c r="M3">
        <v>110199</v>
      </c>
      <c r="N3">
        <v>17631.84</v>
      </c>
      <c r="O3">
        <v>0</v>
      </c>
      <c r="P3">
        <v>127830.84</v>
      </c>
      <c r="Q3" t="s">
        <v>643</v>
      </c>
      <c r="R3" t="s">
        <v>644</v>
      </c>
      <c r="S3" t="s">
        <v>652</v>
      </c>
      <c r="T3" t="s">
        <v>29</v>
      </c>
      <c r="U3" t="s">
        <v>646</v>
      </c>
      <c r="V3" t="s">
        <v>40</v>
      </c>
      <c r="W3" t="s">
        <v>66</v>
      </c>
      <c r="Y3" t="s">
        <v>653</v>
      </c>
    </row>
    <row r="4" spans="1:25" x14ac:dyDescent="0.25">
      <c r="A4">
        <v>3</v>
      </c>
      <c r="B4" t="s">
        <v>47</v>
      </c>
      <c r="C4">
        <v>2026</v>
      </c>
      <c r="D4">
        <v>1</v>
      </c>
      <c r="E4" t="s">
        <v>312</v>
      </c>
      <c r="F4" t="s">
        <v>654</v>
      </c>
      <c r="G4" t="s">
        <v>655</v>
      </c>
      <c r="H4" t="s">
        <v>649</v>
      </c>
      <c r="I4" t="s">
        <v>656</v>
      </c>
      <c r="J4" t="s">
        <v>657</v>
      </c>
      <c r="K4" t="s">
        <v>658</v>
      </c>
      <c r="L4" t="s">
        <v>642</v>
      </c>
      <c r="M4">
        <v>104499</v>
      </c>
      <c r="N4">
        <v>16719.84</v>
      </c>
      <c r="O4">
        <v>0</v>
      </c>
      <c r="P4">
        <v>121218.84</v>
      </c>
      <c r="Q4" t="s">
        <v>643</v>
      </c>
      <c r="R4" t="s">
        <v>644</v>
      </c>
      <c r="S4" t="s">
        <v>645</v>
      </c>
      <c r="T4" t="s">
        <v>50</v>
      </c>
      <c r="U4" t="s">
        <v>646</v>
      </c>
      <c r="V4" t="s">
        <v>27</v>
      </c>
      <c r="W4" t="s">
        <v>27</v>
      </c>
      <c r="Y4" t="s">
        <v>647</v>
      </c>
    </row>
    <row r="5" spans="1:25" x14ac:dyDescent="0.25">
      <c r="A5">
        <v>4</v>
      </c>
      <c r="B5" t="s">
        <v>53</v>
      </c>
      <c r="C5">
        <v>2026</v>
      </c>
      <c r="D5">
        <v>1</v>
      </c>
      <c r="E5" t="s">
        <v>332</v>
      </c>
      <c r="F5" t="s">
        <v>637</v>
      </c>
      <c r="G5" t="s">
        <v>659</v>
      </c>
      <c r="H5" t="s">
        <v>649</v>
      </c>
      <c r="I5" t="s">
        <v>656</v>
      </c>
      <c r="J5" t="s">
        <v>28</v>
      </c>
      <c r="K5" t="s">
        <v>660</v>
      </c>
      <c r="L5" t="s">
        <v>642</v>
      </c>
      <c r="M5">
        <v>82977</v>
      </c>
      <c r="N5">
        <v>13276.32</v>
      </c>
      <c r="O5">
        <v>0</v>
      </c>
      <c r="P5">
        <v>96253.319999999992</v>
      </c>
      <c r="Q5" t="s">
        <v>643</v>
      </c>
      <c r="R5" t="s">
        <v>644</v>
      </c>
      <c r="S5" t="s">
        <v>652</v>
      </c>
      <c r="T5" t="s">
        <v>75</v>
      </c>
      <c r="U5" t="s">
        <v>646</v>
      </c>
      <c r="V5" t="s">
        <v>27</v>
      </c>
      <c r="W5" t="s">
        <v>66</v>
      </c>
      <c r="Y5" t="s">
        <v>647</v>
      </c>
    </row>
    <row r="6" spans="1:25" x14ac:dyDescent="0.25">
      <c r="A6">
        <v>5</v>
      </c>
      <c r="B6" t="s">
        <v>58</v>
      </c>
      <c r="C6">
        <v>2026</v>
      </c>
      <c r="D6">
        <v>1</v>
      </c>
      <c r="E6" t="s">
        <v>347</v>
      </c>
      <c r="F6" t="s">
        <v>654</v>
      </c>
      <c r="G6" t="s">
        <v>661</v>
      </c>
      <c r="H6" t="s">
        <v>20</v>
      </c>
      <c r="I6" t="s">
        <v>656</v>
      </c>
      <c r="J6" t="s">
        <v>662</v>
      </c>
      <c r="K6" t="s">
        <v>663</v>
      </c>
      <c r="L6" t="s">
        <v>642</v>
      </c>
      <c r="M6">
        <v>46637</v>
      </c>
      <c r="N6">
        <v>7461.92</v>
      </c>
      <c r="O6">
        <v>0</v>
      </c>
      <c r="P6">
        <v>54098.92</v>
      </c>
      <c r="Q6" t="s">
        <v>643</v>
      </c>
      <c r="R6" t="s">
        <v>644</v>
      </c>
      <c r="S6" t="s">
        <v>664</v>
      </c>
      <c r="T6" t="s">
        <v>42</v>
      </c>
      <c r="U6" t="s">
        <v>646</v>
      </c>
      <c r="V6" t="s">
        <v>49</v>
      </c>
      <c r="W6" t="s">
        <v>66</v>
      </c>
      <c r="Y6" t="s">
        <v>653</v>
      </c>
    </row>
    <row r="7" spans="1:25" x14ac:dyDescent="0.25">
      <c r="A7">
        <v>6</v>
      </c>
      <c r="B7" t="s">
        <v>62</v>
      </c>
      <c r="C7">
        <v>2026</v>
      </c>
      <c r="D7">
        <v>1</v>
      </c>
      <c r="E7" t="s">
        <v>332</v>
      </c>
      <c r="F7" t="s">
        <v>665</v>
      </c>
      <c r="G7" t="s">
        <v>666</v>
      </c>
      <c r="H7" t="s">
        <v>20</v>
      </c>
      <c r="I7" t="s">
        <v>656</v>
      </c>
      <c r="J7" t="s">
        <v>667</v>
      </c>
      <c r="K7" t="s">
        <v>668</v>
      </c>
      <c r="L7" t="s">
        <v>642</v>
      </c>
      <c r="M7">
        <v>115463</v>
      </c>
      <c r="N7">
        <v>18474.080000000002</v>
      </c>
      <c r="O7">
        <v>0</v>
      </c>
      <c r="P7">
        <v>133937.07999999999</v>
      </c>
      <c r="Q7" t="s">
        <v>643</v>
      </c>
      <c r="R7" t="s">
        <v>644</v>
      </c>
      <c r="S7" t="s">
        <v>664</v>
      </c>
      <c r="T7" t="s">
        <v>75</v>
      </c>
      <c r="U7" t="s">
        <v>646</v>
      </c>
      <c r="V7" t="s">
        <v>40</v>
      </c>
      <c r="W7" t="s">
        <v>66</v>
      </c>
      <c r="Y7" t="s">
        <v>653</v>
      </c>
    </row>
    <row r="8" spans="1:25" x14ac:dyDescent="0.25">
      <c r="A8">
        <v>7</v>
      </c>
      <c r="B8" t="s">
        <v>65</v>
      </c>
      <c r="C8">
        <v>2026</v>
      </c>
      <c r="D8">
        <v>1</v>
      </c>
      <c r="E8" t="s">
        <v>332</v>
      </c>
      <c r="F8" t="s">
        <v>669</v>
      </c>
      <c r="G8" t="s">
        <v>670</v>
      </c>
      <c r="H8" t="s">
        <v>649</v>
      </c>
      <c r="I8" t="s">
        <v>656</v>
      </c>
      <c r="J8" t="s">
        <v>671</v>
      </c>
      <c r="K8" t="s">
        <v>672</v>
      </c>
      <c r="L8" t="s">
        <v>642</v>
      </c>
      <c r="M8">
        <v>30830</v>
      </c>
      <c r="N8">
        <v>4932.8</v>
      </c>
      <c r="O8">
        <v>0</v>
      </c>
      <c r="P8">
        <v>35762.800000000003</v>
      </c>
      <c r="Q8" t="s">
        <v>643</v>
      </c>
      <c r="R8" t="s">
        <v>644</v>
      </c>
      <c r="S8" t="s">
        <v>645</v>
      </c>
      <c r="T8" t="s">
        <v>29</v>
      </c>
      <c r="U8" t="s">
        <v>646</v>
      </c>
      <c r="V8" t="s">
        <v>27</v>
      </c>
      <c r="W8" t="s">
        <v>49</v>
      </c>
      <c r="Y8" t="s">
        <v>653</v>
      </c>
    </row>
    <row r="9" spans="1:25" x14ac:dyDescent="0.25">
      <c r="A9">
        <v>8</v>
      </c>
      <c r="B9" t="s">
        <v>68</v>
      </c>
      <c r="C9">
        <v>2026</v>
      </c>
      <c r="D9">
        <v>1</v>
      </c>
      <c r="E9" t="s">
        <v>347</v>
      </c>
      <c r="F9" t="s">
        <v>669</v>
      </c>
      <c r="G9" t="s">
        <v>673</v>
      </c>
      <c r="H9" t="s">
        <v>20</v>
      </c>
      <c r="I9" t="s">
        <v>639</v>
      </c>
      <c r="J9" t="s">
        <v>674</v>
      </c>
      <c r="K9" t="s">
        <v>675</v>
      </c>
      <c r="L9" t="s">
        <v>642</v>
      </c>
      <c r="M9">
        <v>148078</v>
      </c>
      <c r="N9">
        <v>23692.48</v>
      </c>
      <c r="O9">
        <v>0</v>
      </c>
      <c r="P9">
        <v>171770.48</v>
      </c>
      <c r="Q9" t="s">
        <v>643</v>
      </c>
      <c r="R9" t="s">
        <v>644</v>
      </c>
      <c r="S9" t="s">
        <v>664</v>
      </c>
      <c r="T9" t="s">
        <v>50</v>
      </c>
      <c r="U9" t="s">
        <v>646</v>
      </c>
      <c r="V9" t="s">
        <v>49</v>
      </c>
      <c r="W9" t="s">
        <v>66</v>
      </c>
      <c r="Y9" t="s">
        <v>653</v>
      </c>
    </row>
    <row r="10" spans="1:25" x14ac:dyDescent="0.25">
      <c r="A10">
        <v>9</v>
      </c>
      <c r="B10" t="s">
        <v>70</v>
      </c>
      <c r="C10">
        <v>2026</v>
      </c>
      <c r="D10">
        <v>1</v>
      </c>
      <c r="E10" t="s">
        <v>303</v>
      </c>
      <c r="F10" t="s">
        <v>669</v>
      </c>
      <c r="G10" t="s">
        <v>676</v>
      </c>
      <c r="H10" t="s">
        <v>20</v>
      </c>
      <c r="I10" t="s">
        <v>650</v>
      </c>
      <c r="J10" t="s">
        <v>677</v>
      </c>
      <c r="K10" t="s">
        <v>678</v>
      </c>
      <c r="L10" t="s">
        <v>642</v>
      </c>
      <c r="M10">
        <v>141021</v>
      </c>
      <c r="N10">
        <v>22563.360000000001</v>
      </c>
      <c r="O10">
        <v>0</v>
      </c>
      <c r="P10">
        <v>163584.35999999999</v>
      </c>
      <c r="Q10" t="s">
        <v>643</v>
      </c>
      <c r="R10" t="s">
        <v>644</v>
      </c>
      <c r="S10" t="s">
        <v>652</v>
      </c>
      <c r="T10" t="s">
        <v>42</v>
      </c>
      <c r="U10" t="s">
        <v>646</v>
      </c>
      <c r="V10" t="s">
        <v>27</v>
      </c>
      <c r="W10" t="s">
        <v>66</v>
      </c>
      <c r="Y10" t="s">
        <v>647</v>
      </c>
    </row>
    <row r="11" spans="1:25" x14ac:dyDescent="0.25">
      <c r="A11">
        <v>10</v>
      </c>
      <c r="B11" t="s">
        <v>72</v>
      </c>
      <c r="C11">
        <v>2026</v>
      </c>
      <c r="D11">
        <v>1</v>
      </c>
      <c r="E11" t="s">
        <v>303</v>
      </c>
      <c r="F11" t="s">
        <v>669</v>
      </c>
      <c r="G11" t="s">
        <v>679</v>
      </c>
      <c r="H11" t="s">
        <v>649</v>
      </c>
      <c r="I11" t="s">
        <v>650</v>
      </c>
      <c r="J11" t="s">
        <v>680</v>
      </c>
      <c r="K11" t="s">
        <v>681</v>
      </c>
      <c r="L11" t="s">
        <v>642</v>
      </c>
      <c r="M11">
        <v>64914</v>
      </c>
      <c r="N11">
        <v>10386.24</v>
      </c>
      <c r="O11">
        <v>0</v>
      </c>
      <c r="P11">
        <v>75300.239999999991</v>
      </c>
      <c r="Q11" t="s">
        <v>643</v>
      </c>
      <c r="R11" t="s">
        <v>644</v>
      </c>
      <c r="S11" t="s">
        <v>682</v>
      </c>
      <c r="T11" t="s">
        <v>29</v>
      </c>
      <c r="U11" t="s">
        <v>646</v>
      </c>
      <c r="V11" t="s">
        <v>27</v>
      </c>
      <c r="W11" t="s">
        <v>27</v>
      </c>
      <c r="Y11" t="s">
        <v>653</v>
      </c>
    </row>
    <row r="12" spans="1:25" x14ac:dyDescent="0.25">
      <c r="A12">
        <v>11</v>
      </c>
      <c r="B12" t="s">
        <v>74</v>
      </c>
      <c r="C12">
        <v>2026</v>
      </c>
      <c r="D12">
        <v>1</v>
      </c>
      <c r="E12" t="s">
        <v>312</v>
      </c>
      <c r="F12" t="s">
        <v>665</v>
      </c>
      <c r="G12" t="s">
        <v>683</v>
      </c>
      <c r="H12" t="s">
        <v>20</v>
      </c>
      <c r="I12" t="s">
        <v>650</v>
      </c>
      <c r="J12" t="s">
        <v>684</v>
      </c>
      <c r="K12" t="s">
        <v>685</v>
      </c>
      <c r="L12" t="s">
        <v>642</v>
      </c>
      <c r="M12">
        <v>37589</v>
      </c>
      <c r="N12">
        <v>6014.24</v>
      </c>
      <c r="O12">
        <v>0</v>
      </c>
      <c r="P12">
        <v>43603.24</v>
      </c>
      <c r="Q12" t="s">
        <v>643</v>
      </c>
      <c r="R12" t="s">
        <v>644</v>
      </c>
      <c r="S12" t="s">
        <v>664</v>
      </c>
      <c r="T12" t="s">
        <v>75</v>
      </c>
      <c r="U12" t="s">
        <v>646</v>
      </c>
      <c r="V12" t="s">
        <v>40</v>
      </c>
      <c r="W12" t="s">
        <v>49</v>
      </c>
      <c r="Y12" t="s">
        <v>653</v>
      </c>
    </row>
    <row r="13" spans="1:25" x14ac:dyDescent="0.25">
      <c r="A13">
        <v>12</v>
      </c>
      <c r="B13" t="s">
        <v>78</v>
      </c>
      <c r="C13">
        <v>2026</v>
      </c>
      <c r="D13">
        <v>1</v>
      </c>
      <c r="E13" t="s">
        <v>332</v>
      </c>
      <c r="F13" t="s">
        <v>637</v>
      </c>
      <c r="G13" t="s">
        <v>686</v>
      </c>
      <c r="H13" t="s">
        <v>649</v>
      </c>
      <c r="I13" t="s">
        <v>656</v>
      </c>
      <c r="J13" t="s">
        <v>687</v>
      </c>
      <c r="K13" t="s">
        <v>688</v>
      </c>
      <c r="L13" t="s">
        <v>642</v>
      </c>
      <c r="M13">
        <v>20740</v>
      </c>
      <c r="N13">
        <v>3318.4</v>
      </c>
      <c r="O13">
        <v>0</v>
      </c>
      <c r="P13">
        <v>24058.400000000001</v>
      </c>
      <c r="Q13" t="s">
        <v>643</v>
      </c>
      <c r="R13" t="s">
        <v>644</v>
      </c>
      <c r="S13" t="s">
        <v>664</v>
      </c>
      <c r="T13" t="s">
        <v>50</v>
      </c>
      <c r="U13" t="s">
        <v>646</v>
      </c>
      <c r="V13" t="s">
        <v>49</v>
      </c>
      <c r="W13" t="s">
        <v>27</v>
      </c>
      <c r="Y13" t="s">
        <v>653</v>
      </c>
    </row>
    <row r="14" spans="1:25" x14ac:dyDescent="0.25">
      <c r="A14">
        <v>13</v>
      </c>
      <c r="B14" t="s">
        <v>79</v>
      </c>
      <c r="C14">
        <v>2026</v>
      </c>
      <c r="D14">
        <v>1</v>
      </c>
      <c r="E14" t="s">
        <v>326</v>
      </c>
      <c r="F14" t="s">
        <v>637</v>
      </c>
      <c r="G14" t="s">
        <v>689</v>
      </c>
      <c r="H14" t="s">
        <v>649</v>
      </c>
      <c r="I14" t="s">
        <v>639</v>
      </c>
      <c r="J14" t="s">
        <v>671</v>
      </c>
      <c r="K14" t="s">
        <v>690</v>
      </c>
      <c r="L14" t="s">
        <v>642</v>
      </c>
      <c r="M14">
        <v>52792</v>
      </c>
      <c r="N14">
        <v>8446.7199999999993</v>
      </c>
      <c r="O14">
        <v>0</v>
      </c>
      <c r="P14">
        <v>61238.719999999987</v>
      </c>
      <c r="Q14" t="s">
        <v>643</v>
      </c>
      <c r="R14" t="s">
        <v>644</v>
      </c>
      <c r="S14" t="s">
        <v>682</v>
      </c>
      <c r="T14" t="s">
        <v>42</v>
      </c>
      <c r="U14" t="s">
        <v>646</v>
      </c>
      <c r="V14" t="s">
        <v>40</v>
      </c>
      <c r="W14" t="s">
        <v>49</v>
      </c>
      <c r="Y14" t="s">
        <v>647</v>
      </c>
    </row>
    <row r="15" spans="1:25" x14ac:dyDescent="0.25">
      <c r="A15">
        <v>14</v>
      </c>
      <c r="B15" t="s">
        <v>81</v>
      </c>
      <c r="C15">
        <v>2026</v>
      </c>
      <c r="D15">
        <v>1</v>
      </c>
      <c r="E15" t="s">
        <v>326</v>
      </c>
      <c r="F15" t="s">
        <v>665</v>
      </c>
      <c r="G15" t="s">
        <v>691</v>
      </c>
      <c r="H15" t="s">
        <v>649</v>
      </c>
      <c r="I15" t="s">
        <v>639</v>
      </c>
      <c r="J15" t="s">
        <v>671</v>
      </c>
      <c r="K15" t="s">
        <v>692</v>
      </c>
      <c r="L15" t="s">
        <v>642</v>
      </c>
      <c r="M15">
        <v>59208</v>
      </c>
      <c r="N15">
        <v>9473.2800000000007</v>
      </c>
      <c r="O15">
        <v>0</v>
      </c>
      <c r="P15">
        <v>68681.279999999999</v>
      </c>
      <c r="Q15" t="s">
        <v>643</v>
      </c>
      <c r="R15" t="s">
        <v>644</v>
      </c>
      <c r="S15" t="s">
        <v>652</v>
      </c>
      <c r="T15" t="s">
        <v>29</v>
      </c>
      <c r="U15" t="s">
        <v>646</v>
      </c>
      <c r="V15" t="s">
        <v>49</v>
      </c>
      <c r="W15" t="s">
        <v>27</v>
      </c>
      <c r="Y15" t="s">
        <v>653</v>
      </c>
    </row>
    <row r="16" spans="1:25" x14ac:dyDescent="0.25">
      <c r="A16">
        <v>15</v>
      </c>
      <c r="B16" t="s">
        <v>83</v>
      </c>
      <c r="C16">
        <v>2026</v>
      </c>
      <c r="D16">
        <v>1</v>
      </c>
      <c r="E16" t="s">
        <v>303</v>
      </c>
      <c r="F16" t="s">
        <v>654</v>
      </c>
      <c r="G16" t="s">
        <v>693</v>
      </c>
      <c r="H16" t="s">
        <v>649</v>
      </c>
      <c r="I16" t="s">
        <v>639</v>
      </c>
      <c r="J16" t="s">
        <v>59</v>
      </c>
      <c r="K16" t="s">
        <v>694</v>
      </c>
      <c r="L16" t="s">
        <v>642</v>
      </c>
      <c r="M16">
        <v>90674</v>
      </c>
      <c r="N16">
        <v>14507.84</v>
      </c>
      <c r="O16">
        <v>0</v>
      </c>
      <c r="P16">
        <v>105181.84</v>
      </c>
      <c r="Q16" t="s">
        <v>643</v>
      </c>
      <c r="R16" t="s">
        <v>644</v>
      </c>
      <c r="S16" t="s">
        <v>652</v>
      </c>
      <c r="T16" t="s">
        <v>42</v>
      </c>
      <c r="U16" t="s">
        <v>646</v>
      </c>
      <c r="V16" t="s">
        <v>49</v>
      </c>
      <c r="W16" t="s">
        <v>49</v>
      </c>
      <c r="Y16" t="s">
        <v>647</v>
      </c>
    </row>
    <row r="17" spans="1:25" x14ac:dyDescent="0.25">
      <c r="A17">
        <v>16</v>
      </c>
      <c r="B17" t="s">
        <v>84</v>
      </c>
      <c r="C17">
        <v>2026</v>
      </c>
      <c r="D17">
        <v>1</v>
      </c>
      <c r="E17" t="s">
        <v>347</v>
      </c>
      <c r="F17" t="s">
        <v>695</v>
      </c>
      <c r="G17" t="s">
        <v>696</v>
      </c>
      <c r="H17" t="s">
        <v>20</v>
      </c>
      <c r="I17" t="s">
        <v>650</v>
      </c>
      <c r="J17" t="s">
        <v>657</v>
      </c>
      <c r="K17" t="s">
        <v>697</v>
      </c>
      <c r="L17" t="s">
        <v>642</v>
      </c>
      <c r="M17">
        <v>64450</v>
      </c>
      <c r="N17">
        <v>10312</v>
      </c>
      <c r="O17">
        <v>0</v>
      </c>
      <c r="P17">
        <v>74762</v>
      </c>
      <c r="Q17" t="s">
        <v>643</v>
      </c>
      <c r="R17" t="s">
        <v>644</v>
      </c>
      <c r="S17" t="s">
        <v>664</v>
      </c>
      <c r="T17" t="s">
        <v>50</v>
      </c>
      <c r="U17" t="s">
        <v>646</v>
      </c>
      <c r="V17" t="s">
        <v>40</v>
      </c>
      <c r="W17" t="s">
        <v>66</v>
      </c>
      <c r="Y17" t="s">
        <v>647</v>
      </c>
    </row>
    <row r="18" spans="1:25" x14ac:dyDescent="0.25">
      <c r="A18">
        <v>17</v>
      </c>
      <c r="B18" t="s">
        <v>86</v>
      </c>
      <c r="C18">
        <v>2026</v>
      </c>
      <c r="D18">
        <v>1</v>
      </c>
      <c r="E18" t="s">
        <v>332</v>
      </c>
      <c r="F18" t="s">
        <v>669</v>
      </c>
      <c r="G18" t="s">
        <v>698</v>
      </c>
      <c r="H18" t="s">
        <v>649</v>
      </c>
      <c r="I18" t="s">
        <v>650</v>
      </c>
      <c r="J18" t="s">
        <v>699</v>
      </c>
      <c r="K18" t="s">
        <v>700</v>
      </c>
      <c r="L18" t="s">
        <v>642</v>
      </c>
      <c r="M18">
        <v>66800</v>
      </c>
      <c r="N18">
        <v>10688</v>
      </c>
      <c r="O18">
        <v>0</v>
      </c>
      <c r="P18">
        <v>77488</v>
      </c>
      <c r="Q18" t="s">
        <v>643</v>
      </c>
      <c r="R18" t="s">
        <v>644</v>
      </c>
      <c r="S18" t="s">
        <v>664</v>
      </c>
      <c r="T18" t="s">
        <v>75</v>
      </c>
      <c r="U18" t="s">
        <v>646</v>
      </c>
      <c r="V18" t="s">
        <v>27</v>
      </c>
      <c r="W18" t="s">
        <v>27</v>
      </c>
      <c r="Y18" t="s">
        <v>653</v>
      </c>
    </row>
    <row r="19" spans="1:25" x14ac:dyDescent="0.25">
      <c r="A19">
        <v>18</v>
      </c>
      <c r="B19" t="s">
        <v>88</v>
      </c>
      <c r="C19">
        <v>2026</v>
      </c>
      <c r="D19">
        <v>1</v>
      </c>
      <c r="E19" t="s">
        <v>347</v>
      </c>
      <c r="F19" t="s">
        <v>637</v>
      </c>
      <c r="G19" t="s">
        <v>701</v>
      </c>
      <c r="H19" t="s">
        <v>20</v>
      </c>
      <c r="I19" t="s">
        <v>639</v>
      </c>
      <c r="J19" t="s">
        <v>674</v>
      </c>
      <c r="K19" t="s">
        <v>702</v>
      </c>
      <c r="L19" t="s">
        <v>642</v>
      </c>
      <c r="M19">
        <v>109059</v>
      </c>
      <c r="N19">
        <v>17449.439999999999</v>
      </c>
      <c r="O19">
        <v>0</v>
      </c>
      <c r="P19">
        <v>126508.44</v>
      </c>
      <c r="Q19" t="s">
        <v>643</v>
      </c>
      <c r="R19" t="s">
        <v>644</v>
      </c>
      <c r="S19" t="s">
        <v>645</v>
      </c>
      <c r="T19" t="s">
        <v>50</v>
      </c>
      <c r="U19" t="s">
        <v>646</v>
      </c>
      <c r="V19" t="s">
        <v>49</v>
      </c>
      <c r="W19" t="s">
        <v>27</v>
      </c>
      <c r="Y19" t="s">
        <v>653</v>
      </c>
    </row>
    <row r="20" spans="1:25" x14ac:dyDescent="0.25">
      <c r="A20">
        <v>19</v>
      </c>
      <c r="B20" t="s">
        <v>90</v>
      </c>
      <c r="C20">
        <v>2026</v>
      </c>
      <c r="D20">
        <v>1</v>
      </c>
      <c r="E20" t="s">
        <v>332</v>
      </c>
      <c r="F20" t="s">
        <v>695</v>
      </c>
      <c r="G20" t="s">
        <v>661</v>
      </c>
      <c r="H20" t="s">
        <v>20</v>
      </c>
      <c r="I20" t="s">
        <v>650</v>
      </c>
      <c r="J20" t="s">
        <v>680</v>
      </c>
      <c r="K20" t="s">
        <v>703</v>
      </c>
      <c r="L20" t="s">
        <v>642</v>
      </c>
      <c r="M20">
        <v>21468</v>
      </c>
      <c r="N20">
        <v>3434.88</v>
      </c>
      <c r="O20">
        <v>0</v>
      </c>
      <c r="P20">
        <v>24902.880000000001</v>
      </c>
      <c r="Q20" t="s">
        <v>643</v>
      </c>
      <c r="R20" t="s">
        <v>644</v>
      </c>
      <c r="S20" t="s">
        <v>704</v>
      </c>
      <c r="T20" t="s">
        <v>29</v>
      </c>
      <c r="U20" t="s">
        <v>646</v>
      </c>
      <c r="V20" t="s">
        <v>49</v>
      </c>
      <c r="W20" t="s">
        <v>27</v>
      </c>
      <c r="Y20" t="s">
        <v>647</v>
      </c>
    </row>
    <row r="21" spans="1:25" x14ac:dyDescent="0.25">
      <c r="A21">
        <v>20</v>
      </c>
      <c r="B21" t="s">
        <v>91</v>
      </c>
      <c r="C21">
        <v>2026</v>
      </c>
      <c r="D21">
        <v>1</v>
      </c>
      <c r="E21" t="s">
        <v>312</v>
      </c>
      <c r="F21" t="s">
        <v>665</v>
      </c>
      <c r="G21" t="s">
        <v>705</v>
      </c>
      <c r="H21" t="s">
        <v>20</v>
      </c>
      <c r="I21" t="s">
        <v>650</v>
      </c>
      <c r="J21" t="s">
        <v>657</v>
      </c>
      <c r="K21" t="s">
        <v>706</v>
      </c>
      <c r="L21" t="s">
        <v>642</v>
      </c>
      <c r="M21">
        <v>31507</v>
      </c>
      <c r="N21">
        <v>5041.12</v>
      </c>
      <c r="O21">
        <v>0</v>
      </c>
      <c r="P21">
        <v>36548.120000000003</v>
      </c>
      <c r="Q21" t="s">
        <v>643</v>
      </c>
      <c r="R21" t="s">
        <v>644</v>
      </c>
      <c r="S21" t="s">
        <v>652</v>
      </c>
      <c r="T21" t="s">
        <v>50</v>
      </c>
      <c r="U21" t="s">
        <v>646</v>
      </c>
      <c r="V21" t="s">
        <v>27</v>
      </c>
      <c r="W21" t="s">
        <v>49</v>
      </c>
      <c r="Y21" t="s">
        <v>653</v>
      </c>
    </row>
    <row r="22" spans="1:25" x14ac:dyDescent="0.25">
      <c r="A22">
        <v>21</v>
      </c>
      <c r="B22" t="s">
        <v>93</v>
      </c>
      <c r="C22">
        <v>2026</v>
      </c>
      <c r="D22">
        <v>1</v>
      </c>
      <c r="E22" t="s">
        <v>303</v>
      </c>
      <c r="F22" t="s">
        <v>637</v>
      </c>
      <c r="G22" t="s">
        <v>707</v>
      </c>
      <c r="H22" t="s">
        <v>20</v>
      </c>
      <c r="I22" t="s">
        <v>650</v>
      </c>
      <c r="J22" t="s">
        <v>677</v>
      </c>
      <c r="K22" t="s">
        <v>708</v>
      </c>
      <c r="L22" t="s">
        <v>642</v>
      </c>
      <c r="M22">
        <v>114103</v>
      </c>
      <c r="N22">
        <v>18256.48</v>
      </c>
      <c r="O22">
        <v>0</v>
      </c>
      <c r="P22">
        <v>132359.48000000001</v>
      </c>
      <c r="Q22" t="s">
        <v>643</v>
      </c>
      <c r="R22" t="s">
        <v>644</v>
      </c>
      <c r="S22" t="s">
        <v>652</v>
      </c>
      <c r="T22" t="s">
        <v>75</v>
      </c>
      <c r="U22" t="s">
        <v>646</v>
      </c>
      <c r="V22" t="s">
        <v>27</v>
      </c>
      <c r="W22" t="s">
        <v>66</v>
      </c>
      <c r="Y22" t="s">
        <v>653</v>
      </c>
    </row>
    <row r="23" spans="1:25" x14ac:dyDescent="0.25">
      <c r="A23">
        <v>22</v>
      </c>
      <c r="B23" t="s">
        <v>94</v>
      </c>
      <c r="C23">
        <v>2026</v>
      </c>
      <c r="D23">
        <v>1</v>
      </c>
      <c r="E23" t="s">
        <v>326</v>
      </c>
      <c r="F23" t="s">
        <v>669</v>
      </c>
      <c r="G23" t="s">
        <v>709</v>
      </c>
      <c r="H23" t="s">
        <v>649</v>
      </c>
      <c r="I23" t="s">
        <v>639</v>
      </c>
      <c r="J23" t="s">
        <v>671</v>
      </c>
      <c r="K23" t="s">
        <v>710</v>
      </c>
      <c r="L23" t="s">
        <v>642</v>
      </c>
      <c r="M23">
        <v>136993</v>
      </c>
      <c r="N23">
        <v>21918.880000000001</v>
      </c>
      <c r="O23">
        <v>0</v>
      </c>
      <c r="P23">
        <v>158911.88</v>
      </c>
      <c r="Q23" t="s">
        <v>643</v>
      </c>
      <c r="R23" t="s">
        <v>644</v>
      </c>
      <c r="S23" t="s">
        <v>664</v>
      </c>
      <c r="T23" t="s">
        <v>29</v>
      </c>
      <c r="U23" t="s">
        <v>646</v>
      </c>
      <c r="V23" t="s">
        <v>27</v>
      </c>
      <c r="W23" t="s">
        <v>49</v>
      </c>
      <c r="Y23" t="s">
        <v>647</v>
      </c>
    </row>
    <row r="24" spans="1:25" x14ac:dyDescent="0.25">
      <c r="A24">
        <v>23</v>
      </c>
      <c r="B24" t="s">
        <v>95</v>
      </c>
      <c r="C24">
        <v>2026</v>
      </c>
      <c r="D24">
        <v>1</v>
      </c>
      <c r="E24" t="s">
        <v>332</v>
      </c>
      <c r="F24" t="s">
        <v>637</v>
      </c>
      <c r="G24" t="s">
        <v>711</v>
      </c>
      <c r="H24" t="s">
        <v>20</v>
      </c>
      <c r="I24" t="s">
        <v>656</v>
      </c>
      <c r="J24" t="s">
        <v>662</v>
      </c>
      <c r="K24" t="s">
        <v>712</v>
      </c>
      <c r="L24" t="s">
        <v>642</v>
      </c>
      <c r="M24">
        <v>61316</v>
      </c>
      <c r="N24">
        <v>9810.56</v>
      </c>
      <c r="O24">
        <v>0</v>
      </c>
      <c r="P24">
        <v>71126.559999999998</v>
      </c>
      <c r="Q24" t="s">
        <v>643</v>
      </c>
      <c r="R24" t="s">
        <v>644</v>
      </c>
      <c r="S24" t="s">
        <v>664</v>
      </c>
      <c r="T24" t="s">
        <v>75</v>
      </c>
      <c r="U24" t="s">
        <v>646</v>
      </c>
      <c r="V24" t="s">
        <v>27</v>
      </c>
      <c r="W24" t="s">
        <v>27</v>
      </c>
      <c r="Y24" t="s">
        <v>647</v>
      </c>
    </row>
    <row r="25" spans="1:25" x14ac:dyDescent="0.25">
      <c r="A25">
        <v>24</v>
      </c>
      <c r="B25" t="s">
        <v>96</v>
      </c>
      <c r="C25">
        <v>2026</v>
      </c>
      <c r="D25">
        <v>1</v>
      </c>
      <c r="E25" t="s">
        <v>347</v>
      </c>
      <c r="F25" t="s">
        <v>654</v>
      </c>
      <c r="G25" t="s">
        <v>713</v>
      </c>
      <c r="H25" t="s">
        <v>649</v>
      </c>
      <c r="I25" t="s">
        <v>650</v>
      </c>
      <c r="J25" t="s">
        <v>714</v>
      </c>
      <c r="K25" t="s">
        <v>715</v>
      </c>
      <c r="L25" t="s">
        <v>642</v>
      </c>
      <c r="M25">
        <v>108662</v>
      </c>
      <c r="N25">
        <v>17385.919999999998</v>
      </c>
      <c r="O25">
        <v>0</v>
      </c>
      <c r="P25">
        <v>126047.92</v>
      </c>
      <c r="Q25" t="s">
        <v>643</v>
      </c>
      <c r="R25" t="s">
        <v>644</v>
      </c>
      <c r="S25" t="s">
        <v>682</v>
      </c>
      <c r="T25" t="s">
        <v>42</v>
      </c>
      <c r="U25" t="s">
        <v>646</v>
      </c>
      <c r="V25" t="s">
        <v>49</v>
      </c>
      <c r="W25" t="s">
        <v>49</v>
      </c>
      <c r="Y25" t="s">
        <v>647</v>
      </c>
    </row>
    <row r="26" spans="1:25" x14ac:dyDescent="0.25">
      <c r="A26">
        <v>25</v>
      </c>
      <c r="B26" t="s">
        <v>98</v>
      </c>
      <c r="C26">
        <v>2026</v>
      </c>
      <c r="D26">
        <v>1</v>
      </c>
      <c r="E26" t="s">
        <v>326</v>
      </c>
      <c r="F26" t="s">
        <v>695</v>
      </c>
      <c r="G26" t="s">
        <v>716</v>
      </c>
      <c r="H26" t="s">
        <v>20</v>
      </c>
      <c r="I26" t="s">
        <v>656</v>
      </c>
      <c r="J26" t="s">
        <v>28</v>
      </c>
      <c r="K26" t="s">
        <v>717</v>
      </c>
      <c r="L26" t="s">
        <v>642</v>
      </c>
      <c r="M26">
        <v>62215</v>
      </c>
      <c r="N26">
        <v>9954.4</v>
      </c>
      <c r="O26">
        <v>0</v>
      </c>
      <c r="P26">
        <v>72169.399999999994</v>
      </c>
      <c r="Q26" t="s">
        <v>643</v>
      </c>
      <c r="R26" t="s">
        <v>644</v>
      </c>
      <c r="S26" t="s">
        <v>652</v>
      </c>
      <c r="T26" t="s">
        <v>29</v>
      </c>
      <c r="U26" t="s">
        <v>646</v>
      </c>
      <c r="V26" t="s">
        <v>40</v>
      </c>
      <c r="W26" t="s">
        <v>27</v>
      </c>
      <c r="Y26" t="s">
        <v>647</v>
      </c>
    </row>
    <row r="27" spans="1:25" x14ac:dyDescent="0.25">
      <c r="A27">
        <v>26</v>
      </c>
      <c r="B27" t="s">
        <v>100</v>
      </c>
      <c r="C27">
        <v>2026</v>
      </c>
      <c r="D27">
        <v>1</v>
      </c>
      <c r="E27" t="s">
        <v>332</v>
      </c>
      <c r="F27" t="s">
        <v>669</v>
      </c>
      <c r="G27" t="s">
        <v>718</v>
      </c>
      <c r="H27" t="s">
        <v>649</v>
      </c>
      <c r="I27" t="s">
        <v>650</v>
      </c>
      <c r="J27" t="s">
        <v>719</v>
      </c>
      <c r="K27" t="s">
        <v>720</v>
      </c>
      <c r="L27" t="s">
        <v>642</v>
      </c>
      <c r="M27">
        <v>131253</v>
      </c>
      <c r="N27">
        <v>21000.48</v>
      </c>
      <c r="O27">
        <v>0</v>
      </c>
      <c r="P27">
        <v>152253.48000000001</v>
      </c>
      <c r="Q27" t="s">
        <v>643</v>
      </c>
      <c r="R27" t="s">
        <v>644</v>
      </c>
      <c r="S27" t="s">
        <v>664</v>
      </c>
      <c r="T27" t="s">
        <v>29</v>
      </c>
      <c r="U27" t="s">
        <v>646</v>
      </c>
      <c r="V27" t="s">
        <v>49</v>
      </c>
      <c r="W27" t="s">
        <v>27</v>
      </c>
      <c r="Y27" t="s">
        <v>647</v>
      </c>
    </row>
    <row r="28" spans="1:25" x14ac:dyDescent="0.25">
      <c r="A28">
        <v>27</v>
      </c>
      <c r="B28" t="s">
        <v>102</v>
      </c>
      <c r="C28">
        <v>2026</v>
      </c>
      <c r="D28">
        <v>1</v>
      </c>
      <c r="E28" t="s">
        <v>326</v>
      </c>
      <c r="F28" t="s">
        <v>695</v>
      </c>
      <c r="G28" t="s">
        <v>721</v>
      </c>
      <c r="H28" t="s">
        <v>20</v>
      </c>
      <c r="I28" t="s">
        <v>639</v>
      </c>
      <c r="J28" t="s">
        <v>28</v>
      </c>
      <c r="K28" t="s">
        <v>722</v>
      </c>
      <c r="L28" t="s">
        <v>642</v>
      </c>
      <c r="M28">
        <v>33764</v>
      </c>
      <c r="N28">
        <v>5402.24</v>
      </c>
      <c r="O28">
        <v>0</v>
      </c>
      <c r="P28">
        <v>39166.239999999998</v>
      </c>
      <c r="Q28" t="s">
        <v>643</v>
      </c>
      <c r="R28" t="s">
        <v>644</v>
      </c>
      <c r="S28" t="s">
        <v>652</v>
      </c>
      <c r="T28" t="s">
        <v>75</v>
      </c>
      <c r="U28" t="s">
        <v>646</v>
      </c>
      <c r="V28" t="s">
        <v>27</v>
      </c>
      <c r="W28" t="s">
        <v>49</v>
      </c>
      <c r="Y28" t="s">
        <v>647</v>
      </c>
    </row>
    <row r="29" spans="1:25" x14ac:dyDescent="0.25">
      <c r="A29">
        <v>28</v>
      </c>
      <c r="B29" t="s">
        <v>104</v>
      </c>
      <c r="C29">
        <v>2026</v>
      </c>
      <c r="D29">
        <v>1</v>
      </c>
      <c r="E29" t="s">
        <v>326</v>
      </c>
      <c r="F29" t="s">
        <v>695</v>
      </c>
      <c r="G29" t="s">
        <v>723</v>
      </c>
      <c r="H29" t="s">
        <v>20</v>
      </c>
      <c r="I29" t="s">
        <v>639</v>
      </c>
      <c r="J29" t="s">
        <v>699</v>
      </c>
      <c r="K29" t="s">
        <v>724</v>
      </c>
      <c r="L29" t="s">
        <v>642</v>
      </c>
      <c r="M29">
        <v>29189</v>
      </c>
      <c r="N29">
        <v>4670.24</v>
      </c>
      <c r="O29">
        <v>0</v>
      </c>
      <c r="P29">
        <v>33859.24</v>
      </c>
      <c r="Q29" t="s">
        <v>643</v>
      </c>
      <c r="R29" t="s">
        <v>644</v>
      </c>
      <c r="S29" t="s">
        <v>645</v>
      </c>
      <c r="T29" t="s">
        <v>50</v>
      </c>
      <c r="U29" t="s">
        <v>646</v>
      </c>
      <c r="V29" t="s">
        <v>27</v>
      </c>
      <c r="W29" t="s">
        <v>66</v>
      </c>
      <c r="Y29" t="s">
        <v>647</v>
      </c>
    </row>
    <row r="30" spans="1:25" x14ac:dyDescent="0.25">
      <c r="A30">
        <v>29</v>
      </c>
      <c r="B30" t="s">
        <v>106</v>
      </c>
      <c r="C30">
        <v>2026</v>
      </c>
      <c r="D30">
        <v>1</v>
      </c>
      <c r="E30" t="s">
        <v>326</v>
      </c>
      <c r="F30" t="s">
        <v>665</v>
      </c>
      <c r="G30" t="s">
        <v>725</v>
      </c>
      <c r="H30" t="s">
        <v>20</v>
      </c>
      <c r="I30" t="s">
        <v>650</v>
      </c>
      <c r="J30" t="s">
        <v>726</v>
      </c>
      <c r="K30" t="s">
        <v>727</v>
      </c>
      <c r="L30" t="s">
        <v>642</v>
      </c>
      <c r="M30">
        <v>16989</v>
      </c>
      <c r="N30">
        <v>2718.24</v>
      </c>
      <c r="O30">
        <v>0</v>
      </c>
      <c r="P30">
        <v>19707.240000000002</v>
      </c>
      <c r="Q30" t="s">
        <v>643</v>
      </c>
      <c r="R30" t="s">
        <v>644</v>
      </c>
      <c r="S30" t="s">
        <v>652</v>
      </c>
      <c r="T30" t="s">
        <v>29</v>
      </c>
      <c r="U30" t="s">
        <v>646</v>
      </c>
      <c r="V30" t="s">
        <v>49</v>
      </c>
      <c r="W30" t="s">
        <v>27</v>
      </c>
      <c r="Y30" t="s">
        <v>647</v>
      </c>
    </row>
    <row r="31" spans="1:25" x14ac:dyDescent="0.25">
      <c r="A31">
        <v>30</v>
      </c>
      <c r="B31" t="s">
        <v>108</v>
      </c>
      <c r="C31">
        <v>2026</v>
      </c>
      <c r="D31">
        <v>1</v>
      </c>
      <c r="E31" t="s">
        <v>312</v>
      </c>
      <c r="F31" t="s">
        <v>637</v>
      </c>
      <c r="G31" t="s">
        <v>728</v>
      </c>
      <c r="H31" t="s">
        <v>20</v>
      </c>
      <c r="I31" t="s">
        <v>639</v>
      </c>
      <c r="J31" t="s">
        <v>719</v>
      </c>
      <c r="K31" t="s">
        <v>729</v>
      </c>
      <c r="L31" t="s">
        <v>642</v>
      </c>
      <c r="M31">
        <v>97963</v>
      </c>
      <c r="N31">
        <v>15674.08</v>
      </c>
      <c r="O31">
        <v>0</v>
      </c>
      <c r="P31">
        <v>113637.08</v>
      </c>
      <c r="Q31" t="s">
        <v>643</v>
      </c>
      <c r="R31" t="s">
        <v>644</v>
      </c>
      <c r="S31" t="s">
        <v>704</v>
      </c>
      <c r="T31" t="s">
        <v>50</v>
      </c>
      <c r="U31" t="s">
        <v>646</v>
      </c>
      <c r="V31" t="s">
        <v>27</v>
      </c>
      <c r="W31" t="s">
        <v>49</v>
      </c>
      <c r="Y31" t="s">
        <v>647</v>
      </c>
    </row>
    <row r="32" spans="1:25" x14ac:dyDescent="0.25">
      <c r="A32">
        <v>31</v>
      </c>
      <c r="B32" t="s">
        <v>110</v>
      </c>
      <c r="C32">
        <v>2026</v>
      </c>
      <c r="D32">
        <v>1</v>
      </c>
      <c r="E32" t="s">
        <v>303</v>
      </c>
      <c r="F32" t="s">
        <v>669</v>
      </c>
      <c r="G32" t="s">
        <v>730</v>
      </c>
      <c r="H32" t="s">
        <v>649</v>
      </c>
      <c r="I32" t="s">
        <v>639</v>
      </c>
      <c r="J32" t="s">
        <v>28</v>
      </c>
      <c r="K32" t="s">
        <v>731</v>
      </c>
      <c r="L32" t="s">
        <v>642</v>
      </c>
      <c r="M32">
        <v>116325</v>
      </c>
      <c r="N32">
        <v>18612</v>
      </c>
      <c r="O32">
        <v>0</v>
      </c>
      <c r="P32">
        <v>134937</v>
      </c>
      <c r="Q32" t="s">
        <v>643</v>
      </c>
      <c r="R32" t="s">
        <v>644</v>
      </c>
      <c r="S32" t="s">
        <v>645</v>
      </c>
      <c r="T32" t="s">
        <v>50</v>
      </c>
      <c r="U32" t="s">
        <v>646</v>
      </c>
      <c r="V32" t="s">
        <v>49</v>
      </c>
      <c r="W32" t="s">
        <v>49</v>
      </c>
      <c r="Y32" t="s">
        <v>653</v>
      </c>
    </row>
    <row r="33" spans="1:25" x14ac:dyDescent="0.25">
      <c r="A33">
        <v>32</v>
      </c>
      <c r="B33" t="s">
        <v>111</v>
      </c>
      <c r="C33">
        <v>2026</v>
      </c>
      <c r="D33">
        <v>2</v>
      </c>
      <c r="E33" t="s">
        <v>303</v>
      </c>
      <c r="F33" t="s">
        <v>665</v>
      </c>
      <c r="G33" t="s">
        <v>732</v>
      </c>
      <c r="H33" t="s">
        <v>20</v>
      </c>
      <c r="I33" t="s">
        <v>639</v>
      </c>
      <c r="J33" t="s">
        <v>719</v>
      </c>
      <c r="K33" t="s">
        <v>733</v>
      </c>
      <c r="L33" t="s">
        <v>642</v>
      </c>
      <c r="M33">
        <v>55564</v>
      </c>
      <c r="N33">
        <v>8890.24</v>
      </c>
      <c r="O33">
        <v>0</v>
      </c>
      <c r="P33">
        <v>64454.239999999998</v>
      </c>
      <c r="Q33" t="s">
        <v>643</v>
      </c>
      <c r="R33" t="s">
        <v>644</v>
      </c>
      <c r="S33" t="s">
        <v>645</v>
      </c>
      <c r="T33" t="s">
        <v>50</v>
      </c>
      <c r="U33" t="s">
        <v>646</v>
      </c>
      <c r="V33" t="s">
        <v>27</v>
      </c>
      <c r="W33" t="s">
        <v>27</v>
      </c>
      <c r="Y33" t="s">
        <v>653</v>
      </c>
    </row>
    <row r="34" spans="1:25" x14ac:dyDescent="0.25">
      <c r="A34">
        <v>33</v>
      </c>
      <c r="B34" t="s">
        <v>113</v>
      </c>
      <c r="C34">
        <v>2026</v>
      </c>
      <c r="D34">
        <v>2</v>
      </c>
      <c r="E34" t="s">
        <v>303</v>
      </c>
      <c r="F34" t="s">
        <v>665</v>
      </c>
      <c r="G34" t="s">
        <v>734</v>
      </c>
      <c r="H34" t="s">
        <v>20</v>
      </c>
      <c r="I34" t="s">
        <v>639</v>
      </c>
      <c r="J34" t="s">
        <v>28</v>
      </c>
      <c r="K34" t="s">
        <v>735</v>
      </c>
      <c r="L34" t="s">
        <v>642</v>
      </c>
      <c r="M34">
        <v>82430</v>
      </c>
      <c r="N34">
        <v>13188.8</v>
      </c>
      <c r="O34">
        <v>0</v>
      </c>
      <c r="P34">
        <v>95618.799999999988</v>
      </c>
      <c r="Q34" t="s">
        <v>643</v>
      </c>
      <c r="R34" t="s">
        <v>644</v>
      </c>
      <c r="S34" t="s">
        <v>682</v>
      </c>
      <c r="T34" t="s">
        <v>50</v>
      </c>
      <c r="U34" t="s">
        <v>646</v>
      </c>
      <c r="V34" t="s">
        <v>40</v>
      </c>
      <c r="W34" t="s">
        <v>27</v>
      </c>
      <c r="Y34" t="s">
        <v>647</v>
      </c>
    </row>
    <row r="35" spans="1:25" x14ac:dyDescent="0.25">
      <c r="A35">
        <v>34</v>
      </c>
      <c r="B35" t="s">
        <v>114</v>
      </c>
      <c r="C35">
        <v>2026</v>
      </c>
      <c r="D35">
        <v>2</v>
      </c>
      <c r="E35" t="s">
        <v>303</v>
      </c>
      <c r="F35" t="s">
        <v>695</v>
      </c>
      <c r="G35" t="s">
        <v>736</v>
      </c>
      <c r="H35" t="s">
        <v>20</v>
      </c>
      <c r="I35" t="s">
        <v>650</v>
      </c>
      <c r="J35" t="s">
        <v>657</v>
      </c>
      <c r="K35" t="s">
        <v>737</v>
      </c>
      <c r="L35" t="s">
        <v>642</v>
      </c>
      <c r="M35">
        <v>40122</v>
      </c>
      <c r="N35">
        <v>6419.52</v>
      </c>
      <c r="O35">
        <v>0</v>
      </c>
      <c r="P35">
        <v>46541.52</v>
      </c>
      <c r="Q35" t="s">
        <v>643</v>
      </c>
      <c r="R35" t="s">
        <v>644</v>
      </c>
      <c r="S35" t="s">
        <v>682</v>
      </c>
      <c r="T35" t="s">
        <v>42</v>
      </c>
      <c r="U35" t="s">
        <v>646</v>
      </c>
      <c r="V35" t="s">
        <v>49</v>
      </c>
      <c r="W35" t="s">
        <v>49</v>
      </c>
      <c r="Y35" t="s">
        <v>653</v>
      </c>
    </row>
    <row r="36" spans="1:25" x14ac:dyDescent="0.25">
      <c r="A36">
        <v>35</v>
      </c>
      <c r="B36" t="s">
        <v>116</v>
      </c>
      <c r="C36">
        <v>2026</v>
      </c>
      <c r="D36">
        <v>2</v>
      </c>
      <c r="E36" t="s">
        <v>303</v>
      </c>
      <c r="F36" t="s">
        <v>637</v>
      </c>
      <c r="G36" t="s">
        <v>738</v>
      </c>
      <c r="H36" t="s">
        <v>649</v>
      </c>
      <c r="I36" t="s">
        <v>639</v>
      </c>
      <c r="J36" t="s">
        <v>739</v>
      </c>
      <c r="K36" t="s">
        <v>740</v>
      </c>
      <c r="L36" t="s">
        <v>642</v>
      </c>
      <c r="M36">
        <v>11491</v>
      </c>
      <c r="N36">
        <v>1838.56</v>
      </c>
      <c r="O36">
        <v>0</v>
      </c>
      <c r="P36">
        <v>13329.56</v>
      </c>
      <c r="Q36" t="s">
        <v>643</v>
      </c>
      <c r="R36" t="s">
        <v>644</v>
      </c>
      <c r="S36" t="s">
        <v>704</v>
      </c>
      <c r="T36" t="s">
        <v>29</v>
      </c>
      <c r="U36" t="s">
        <v>646</v>
      </c>
      <c r="V36" t="s">
        <v>27</v>
      </c>
      <c r="W36" t="s">
        <v>49</v>
      </c>
      <c r="Y36" t="s">
        <v>653</v>
      </c>
    </row>
    <row r="37" spans="1:25" x14ac:dyDescent="0.25">
      <c r="A37">
        <v>36</v>
      </c>
      <c r="B37" t="s">
        <v>118</v>
      </c>
      <c r="C37">
        <v>2026</v>
      </c>
      <c r="D37">
        <v>2</v>
      </c>
      <c r="E37" t="s">
        <v>326</v>
      </c>
      <c r="F37" t="s">
        <v>669</v>
      </c>
      <c r="G37" t="s">
        <v>741</v>
      </c>
      <c r="H37" t="s">
        <v>649</v>
      </c>
      <c r="I37" t="s">
        <v>639</v>
      </c>
      <c r="J37" t="s">
        <v>674</v>
      </c>
      <c r="K37" t="s">
        <v>742</v>
      </c>
      <c r="L37" t="s">
        <v>642</v>
      </c>
      <c r="M37">
        <v>19872</v>
      </c>
      <c r="N37">
        <v>3179.52</v>
      </c>
      <c r="O37">
        <v>0</v>
      </c>
      <c r="P37">
        <v>23051.52</v>
      </c>
      <c r="Q37" t="s">
        <v>643</v>
      </c>
      <c r="R37" t="s">
        <v>644</v>
      </c>
      <c r="S37" t="s">
        <v>682</v>
      </c>
      <c r="T37" t="s">
        <v>75</v>
      </c>
      <c r="U37" t="s">
        <v>646</v>
      </c>
      <c r="V37" t="s">
        <v>40</v>
      </c>
      <c r="W37" t="s">
        <v>66</v>
      </c>
      <c r="Y37" t="s">
        <v>653</v>
      </c>
    </row>
    <row r="38" spans="1:25" x14ac:dyDescent="0.25">
      <c r="A38">
        <v>37</v>
      </c>
      <c r="B38" t="s">
        <v>120</v>
      </c>
      <c r="C38">
        <v>2026</v>
      </c>
      <c r="D38">
        <v>2</v>
      </c>
      <c r="E38" t="s">
        <v>303</v>
      </c>
      <c r="F38" t="s">
        <v>654</v>
      </c>
      <c r="G38" t="s">
        <v>743</v>
      </c>
      <c r="H38" t="s">
        <v>20</v>
      </c>
      <c r="I38" t="s">
        <v>656</v>
      </c>
      <c r="J38" t="s">
        <v>677</v>
      </c>
      <c r="K38" t="s">
        <v>744</v>
      </c>
      <c r="L38" t="s">
        <v>642</v>
      </c>
      <c r="M38">
        <v>111033</v>
      </c>
      <c r="N38">
        <v>17765.28</v>
      </c>
      <c r="O38">
        <v>0</v>
      </c>
      <c r="P38">
        <v>128798.28</v>
      </c>
      <c r="Q38" t="s">
        <v>643</v>
      </c>
      <c r="R38" t="s">
        <v>644</v>
      </c>
      <c r="S38" t="s">
        <v>652</v>
      </c>
      <c r="T38" t="s">
        <v>50</v>
      </c>
      <c r="U38" t="s">
        <v>646</v>
      </c>
      <c r="V38" t="s">
        <v>40</v>
      </c>
      <c r="W38" t="s">
        <v>66</v>
      </c>
      <c r="Y38" t="s">
        <v>647</v>
      </c>
    </row>
    <row r="39" spans="1:25" x14ac:dyDescent="0.25">
      <c r="A39">
        <v>38</v>
      </c>
      <c r="B39" t="s">
        <v>122</v>
      </c>
      <c r="C39">
        <v>2026</v>
      </c>
      <c r="D39">
        <v>2</v>
      </c>
      <c r="E39" t="s">
        <v>347</v>
      </c>
      <c r="F39" t="s">
        <v>654</v>
      </c>
      <c r="G39" t="s">
        <v>745</v>
      </c>
      <c r="H39" t="s">
        <v>20</v>
      </c>
      <c r="I39" t="s">
        <v>656</v>
      </c>
      <c r="J39" t="s">
        <v>714</v>
      </c>
      <c r="K39" t="s">
        <v>746</v>
      </c>
      <c r="L39" t="s">
        <v>642</v>
      </c>
      <c r="M39">
        <v>77625</v>
      </c>
      <c r="N39">
        <v>12420</v>
      </c>
      <c r="O39">
        <v>0</v>
      </c>
      <c r="P39">
        <v>90045</v>
      </c>
      <c r="Q39" t="s">
        <v>643</v>
      </c>
      <c r="R39" t="s">
        <v>644</v>
      </c>
      <c r="S39" t="s">
        <v>664</v>
      </c>
      <c r="T39" t="s">
        <v>75</v>
      </c>
      <c r="U39" t="s">
        <v>646</v>
      </c>
      <c r="V39" t="s">
        <v>27</v>
      </c>
      <c r="W39" t="s">
        <v>66</v>
      </c>
      <c r="Y39" t="s">
        <v>653</v>
      </c>
    </row>
    <row r="40" spans="1:25" x14ac:dyDescent="0.25">
      <c r="A40">
        <v>39</v>
      </c>
      <c r="B40" t="s">
        <v>124</v>
      </c>
      <c r="C40">
        <v>2026</v>
      </c>
      <c r="D40">
        <v>2</v>
      </c>
      <c r="E40" t="s">
        <v>332</v>
      </c>
      <c r="F40" t="s">
        <v>637</v>
      </c>
      <c r="G40" t="s">
        <v>747</v>
      </c>
      <c r="H40" t="s">
        <v>649</v>
      </c>
      <c r="I40" t="s">
        <v>656</v>
      </c>
      <c r="J40" t="s">
        <v>739</v>
      </c>
      <c r="K40" t="s">
        <v>748</v>
      </c>
      <c r="L40" t="s">
        <v>642</v>
      </c>
      <c r="M40">
        <v>112433</v>
      </c>
      <c r="N40">
        <v>17989.28</v>
      </c>
      <c r="O40">
        <v>0</v>
      </c>
      <c r="P40">
        <v>130422.28</v>
      </c>
      <c r="Q40" t="s">
        <v>643</v>
      </c>
      <c r="R40" t="s">
        <v>644</v>
      </c>
      <c r="S40" t="s">
        <v>664</v>
      </c>
      <c r="T40" t="s">
        <v>29</v>
      </c>
      <c r="U40" t="s">
        <v>646</v>
      </c>
      <c r="V40" t="s">
        <v>27</v>
      </c>
      <c r="W40" t="s">
        <v>27</v>
      </c>
      <c r="Y40" t="s">
        <v>653</v>
      </c>
    </row>
    <row r="41" spans="1:25" x14ac:dyDescent="0.25">
      <c r="A41">
        <v>40</v>
      </c>
      <c r="B41" t="s">
        <v>126</v>
      </c>
      <c r="C41">
        <v>2026</v>
      </c>
      <c r="D41">
        <v>2</v>
      </c>
      <c r="E41" t="s">
        <v>303</v>
      </c>
      <c r="F41" t="s">
        <v>669</v>
      </c>
      <c r="G41" t="s">
        <v>749</v>
      </c>
      <c r="H41" t="s">
        <v>20</v>
      </c>
      <c r="I41" t="s">
        <v>650</v>
      </c>
      <c r="J41" t="s">
        <v>719</v>
      </c>
      <c r="K41" t="s">
        <v>750</v>
      </c>
      <c r="L41" t="s">
        <v>642</v>
      </c>
      <c r="M41">
        <v>128366</v>
      </c>
      <c r="N41">
        <v>20538.560000000001</v>
      </c>
      <c r="O41">
        <v>0</v>
      </c>
      <c r="P41">
        <v>148904.56</v>
      </c>
      <c r="Q41" t="s">
        <v>643</v>
      </c>
      <c r="R41" t="s">
        <v>644</v>
      </c>
      <c r="S41" t="s">
        <v>645</v>
      </c>
      <c r="T41" t="s">
        <v>42</v>
      </c>
      <c r="U41" t="s">
        <v>646</v>
      </c>
      <c r="V41" t="s">
        <v>27</v>
      </c>
      <c r="W41" t="s">
        <v>27</v>
      </c>
      <c r="Y41" t="s">
        <v>647</v>
      </c>
    </row>
    <row r="42" spans="1:25" x14ac:dyDescent="0.25">
      <c r="A42">
        <v>41</v>
      </c>
      <c r="B42" t="s">
        <v>128</v>
      </c>
      <c r="C42">
        <v>2026</v>
      </c>
      <c r="D42">
        <v>2</v>
      </c>
      <c r="E42" t="s">
        <v>332</v>
      </c>
      <c r="F42" t="s">
        <v>695</v>
      </c>
      <c r="G42" t="s">
        <v>751</v>
      </c>
      <c r="H42" t="s">
        <v>20</v>
      </c>
      <c r="I42" t="s">
        <v>650</v>
      </c>
      <c r="J42" t="s">
        <v>719</v>
      </c>
      <c r="K42" t="s">
        <v>752</v>
      </c>
      <c r="L42" t="s">
        <v>642</v>
      </c>
      <c r="M42">
        <v>27558</v>
      </c>
      <c r="N42">
        <v>4409.28</v>
      </c>
      <c r="O42">
        <v>0</v>
      </c>
      <c r="P42">
        <v>31967.279999999999</v>
      </c>
      <c r="Q42" t="s">
        <v>643</v>
      </c>
      <c r="R42" t="s">
        <v>644</v>
      </c>
      <c r="S42" t="s">
        <v>682</v>
      </c>
      <c r="T42" t="s">
        <v>75</v>
      </c>
      <c r="U42" t="s">
        <v>646</v>
      </c>
      <c r="V42" t="s">
        <v>40</v>
      </c>
      <c r="W42" t="s">
        <v>49</v>
      </c>
      <c r="Y42" t="s">
        <v>647</v>
      </c>
    </row>
    <row r="43" spans="1:25" x14ac:dyDescent="0.25">
      <c r="A43">
        <v>42</v>
      </c>
      <c r="B43" t="s">
        <v>130</v>
      </c>
      <c r="C43">
        <v>2026</v>
      </c>
      <c r="D43">
        <v>2</v>
      </c>
      <c r="E43" t="s">
        <v>312</v>
      </c>
      <c r="F43" t="s">
        <v>669</v>
      </c>
      <c r="G43" t="s">
        <v>753</v>
      </c>
      <c r="H43" t="s">
        <v>20</v>
      </c>
      <c r="I43" t="s">
        <v>656</v>
      </c>
      <c r="J43" t="s">
        <v>662</v>
      </c>
      <c r="K43" t="s">
        <v>754</v>
      </c>
      <c r="L43" t="s">
        <v>642</v>
      </c>
      <c r="M43">
        <v>48227</v>
      </c>
      <c r="N43">
        <v>7716.32</v>
      </c>
      <c r="O43">
        <v>0</v>
      </c>
      <c r="P43">
        <v>55943.32</v>
      </c>
      <c r="Q43" t="s">
        <v>643</v>
      </c>
      <c r="R43" t="s">
        <v>644</v>
      </c>
      <c r="S43" t="s">
        <v>704</v>
      </c>
      <c r="T43" t="s">
        <v>75</v>
      </c>
      <c r="U43" t="s">
        <v>646</v>
      </c>
      <c r="V43" t="s">
        <v>49</v>
      </c>
      <c r="W43" t="s">
        <v>27</v>
      </c>
      <c r="Y43" t="s">
        <v>647</v>
      </c>
    </row>
    <row r="44" spans="1:25" x14ac:dyDescent="0.25">
      <c r="A44">
        <v>43</v>
      </c>
      <c r="B44" t="s">
        <v>132</v>
      </c>
      <c r="C44">
        <v>2026</v>
      </c>
      <c r="D44">
        <v>2</v>
      </c>
      <c r="E44" t="s">
        <v>312</v>
      </c>
      <c r="F44" t="s">
        <v>654</v>
      </c>
      <c r="G44" t="s">
        <v>755</v>
      </c>
      <c r="H44" t="s">
        <v>649</v>
      </c>
      <c r="I44" t="s">
        <v>650</v>
      </c>
      <c r="J44" t="s">
        <v>684</v>
      </c>
      <c r="K44" t="s">
        <v>756</v>
      </c>
      <c r="L44" t="s">
        <v>642</v>
      </c>
      <c r="M44">
        <v>60760</v>
      </c>
      <c r="N44">
        <v>9721.6</v>
      </c>
      <c r="O44">
        <v>0</v>
      </c>
      <c r="P44">
        <v>70481.599999999991</v>
      </c>
      <c r="Q44" t="s">
        <v>643</v>
      </c>
      <c r="R44" t="s">
        <v>644</v>
      </c>
      <c r="S44" t="s">
        <v>704</v>
      </c>
      <c r="T44" t="s">
        <v>29</v>
      </c>
      <c r="U44" t="s">
        <v>646</v>
      </c>
      <c r="V44" t="s">
        <v>27</v>
      </c>
      <c r="W44" t="s">
        <v>27</v>
      </c>
      <c r="Y44" t="s">
        <v>653</v>
      </c>
    </row>
    <row r="45" spans="1:25" x14ac:dyDescent="0.25">
      <c r="A45">
        <v>44</v>
      </c>
      <c r="B45" t="s">
        <v>133</v>
      </c>
      <c r="C45">
        <v>2026</v>
      </c>
      <c r="D45">
        <v>2</v>
      </c>
      <c r="E45" t="s">
        <v>303</v>
      </c>
      <c r="F45" t="s">
        <v>695</v>
      </c>
      <c r="G45" t="s">
        <v>757</v>
      </c>
      <c r="H45" t="s">
        <v>20</v>
      </c>
      <c r="I45" t="s">
        <v>650</v>
      </c>
      <c r="J45" t="s">
        <v>671</v>
      </c>
      <c r="K45" t="s">
        <v>758</v>
      </c>
      <c r="L45" t="s">
        <v>642</v>
      </c>
      <c r="M45">
        <v>30814</v>
      </c>
      <c r="N45">
        <v>4930.24</v>
      </c>
      <c r="O45">
        <v>0</v>
      </c>
      <c r="P45">
        <v>35744.239999999998</v>
      </c>
      <c r="Q45" t="s">
        <v>643</v>
      </c>
      <c r="R45" t="s">
        <v>644</v>
      </c>
      <c r="S45" t="s">
        <v>652</v>
      </c>
      <c r="T45" t="s">
        <v>75</v>
      </c>
      <c r="U45" t="s">
        <v>646</v>
      </c>
      <c r="V45" t="s">
        <v>40</v>
      </c>
      <c r="W45" t="s">
        <v>49</v>
      </c>
      <c r="Y45" t="s">
        <v>647</v>
      </c>
    </row>
    <row r="46" spans="1:25" x14ac:dyDescent="0.25">
      <c r="A46">
        <v>45</v>
      </c>
      <c r="B46" t="s">
        <v>134</v>
      </c>
      <c r="C46">
        <v>2026</v>
      </c>
      <c r="D46">
        <v>2</v>
      </c>
      <c r="E46" t="s">
        <v>312</v>
      </c>
      <c r="F46" t="s">
        <v>637</v>
      </c>
      <c r="G46" t="s">
        <v>759</v>
      </c>
      <c r="H46" t="s">
        <v>20</v>
      </c>
      <c r="I46" t="s">
        <v>656</v>
      </c>
      <c r="J46" t="s">
        <v>719</v>
      </c>
      <c r="K46" t="s">
        <v>760</v>
      </c>
      <c r="L46" t="s">
        <v>642</v>
      </c>
      <c r="M46">
        <v>97067</v>
      </c>
      <c r="N46">
        <v>15530.72</v>
      </c>
      <c r="O46">
        <v>0</v>
      </c>
      <c r="P46">
        <v>112597.72</v>
      </c>
      <c r="Q46" t="s">
        <v>643</v>
      </c>
      <c r="R46" t="s">
        <v>644</v>
      </c>
      <c r="S46" t="s">
        <v>645</v>
      </c>
      <c r="T46" t="s">
        <v>75</v>
      </c>
      <c r="U46" t="s">
        <v>646</v>
      </c>
      <c r="V46" t="s">
        <v>49</v>
      </c>
      <c r="W46" t="s">
        <v>27</v>
      </c>
      <c r="Y46" t="s">
        <v>647</v>
      </c>
    </row>
    <row r="47" spans="1:25" x14ac:dyDescent="0.25">
      <c r="A47">
        <v>46</v>
      </c>
      <c r="B47" t="s">
        <v>136</v>
      </c>
      <c r="C47">
        <v>2026</v>
      </c>
      <c r="D47">
        <v>2</v>
      </c>
      <c r="E47" t="s">
        <v>326</v>
      </c>
      <c r="F47" t="s">
        <v>695</v>
      </c>
      <c r="G47" t="s">
        <v>761</v>
      </c>
      <c r="H47" t="s">
        <v>20</v>
      </c>
      <c r="I47" t="s">
        <v>639</v>
      </c>
      <c r="J47" t="s">
        <v>662</v>
      </c>
      <c r="K47" t="s">
        <v>762</v>
      </c>
      <c r="L47" t="s">
        <v>642</v>
      </c>
      <c r="M47">
        <v>148947</v>
      </c>
      <c r="N47">
        <v>23831.52</v>
      </c>
      <c r="O47">
        <v>0</v>
      </c>
      <c r="P47">
        <v>172778.52</v>
      </c>
      <c r="Q47" t="s">
        <v>643</v>
      </c>
      <c r="R47" t="s">
        <v>644</v>
      </c>
      <c r="S47" t="s">
        <v>704</v>
      </c>
      <c r="T47" t="s">
        <v>29</v>
      </c>
      <c r="U47" t="s">
        <v>646</v>
      </c>
      <c r="V47" t="s">
        <v>40</v>
      </c>
      <c r="W47" t="s">
        <v>66</v>
      </c>
      <c r="Y47" t="s">
        <v>647</v>
      </c>
    </row>
    <row r="48" spans="1:25" x14ac:dyDescent="0.25">
      <c r="A48">
        <v>47</v>
      </c>
      <c r="B48" t="s">
        <v>137</v>
      </c>
      <c r="C48">
        <v>2026</v>
      </c>
      <c r="D48">
        <v>2</v>
      </c>
      <c r="E48" t="s">
        <v>312</v>
      </c>
      <c r="F48" t="s">
        <v>637</v>
      </c>
      <c r="G48" t="s">
        <v>763</v>
      </c>
      <c r="H48" t="s">
        <v>649</v>
      </c>
      <c r="I48" t="s">
        <v>639</v>
      </c>
      <c r="J48" t="s">
        <v>680</v>
      </c>
      <c r="K48" t="s">
        <v>764</v>
      </c>
      <c r="L48" t="s">
        <v>642</v>
      </c>
      <c r="M48">
        <v>116118</v>
      </c>
      <c r="N48">
        <v>18578.88</v>
      </c>
      <c r="O48">
        <v>0</v>
      </c>
      <c r="P48">
        <v>134696.88</v>
      </c>
      <c r="Q48" t="s">
        <v>643</v>
      </c>
      <c r="R48" t="s">
        <v>644</v>
      </c>
      <c r="S48" t="s">
        <v>664</v>
      </c>
      <c r="T48" t="s">
        <v>29</v>
      </c>
      <c r="U48" t="s">
        <v>646</v>
      </c>
      <c r="V48" t="s">
        <v>49</v>
      </c>
      <c r="W48" t="s">
        <v>27</v>
      </c>
      <c r="Y48" t="s">
        <v>647</v>
      </c>
    </row>
    <row r="49" spans="1:25" x14ac:dyDescent="0.25">
      <c r="A49">
        <v>48</v>
      </c>
      <c r="B49" t="s">
        <v>139</v>
      </c>
      <c r="C49">
        <v>2026</v>
      </c>
      <c r="D49">
        <v>2</v>
      </c>
      <c r="E49" t="s">
        <v>347</v>
      </c>
      <c r="F49" t="s">
        <v>669</v>
      </c>
      <c r="G49" t="s">
        <v>765</v>
      </c>
      <c r="H49" t="s">
        <v>20</v>
      </c>
      <c r="I49" t="s">
        <v>650</v>
      </c>
      <c r="J49" t="s">
        <v>640</v>
      </c>
      <c r="K49" t="s">
        <v>766</v>
      </c>
      <c r="L49" t="s">
        <v>642</v>
      </c>
      <c r="M49">
        <v>30612</v>
      </c>
      <c r="N49">
        <v>4897.92</v>
      </c>
      <c r="O49">
        <v>0</v>
      </c>
      <c r="P49">
        <v>35509.919999999998</v>
      </c>
      <c r="Q49" t="s">
        <v>643</v>
      </c>
      <c r="R49" t="s">
        <v>644</v>
      </c>
      <c r="S49" t="s">
        <v>652</v>
      </c>
      <c r="T49" t="s">
        <v>29</v>
      </c>
      <c r="U49" t="s">
        <v>646</v>
      </c>
      <c r="V49" t="s">
        <v>49</v>
      </c>
      <c r="W49" t="s">
        <v>49</v>
      </c>
      <c r="Y49" t="s">
        <v>653</v>
      </c>
    </row>
    <row r="50" spans="1:25" x14ac:dyDescent="0.25">
      <c r="A50">
        <v>49</v>
      </c>
      <c r="B50" t="s">
        <v>140</v>
      </c>
      <c r="C50">
        <v>2026</v>
      </c>
      <c r="D50">
        <v>2</v>
      </c>
      <c r="E50" t="s">
        <v>332</v>
      </c>
      <c r="F50" t="s">
        <v>669</v>
      </c>
      <c r="G50" t="s">
        <v>767</v>
      </c>
      <c r="H50" t="s">
        <v>20</v>
      </c>
      <c r="I50" t="s">
        <v>650</v>
      </c>
      <c r="J50" t="s">
        <v>687</v>
      </c>
      <c r="K50" t="s">
        <v>768</v>
      </c>
      <c r="L50" t="s">
        <v>642</v>
      </c>
      <c r="M50">
        <v>43576</v>
      </c>
      <c r="N50">
        <v>6972.16</v>
      </c>
      <c r="O50">
        <v>0</v>
      </c>
      <c r="P50">
        <v>50548.160000000003</v>
      </c>
      <c r="Q50" t="s">
        <v>643</v>
      </c>
      <c r="R50" t="s">
        <v>644</v>
      </c>
      <c r="S50" t="s">
        <v>645</v>
      </c>
      <c r="T50" t="s">
        <v>29</v>
      </c>
      <c r="U50" t="s">
        <v>646</v>
      </c>
      <c r="V50" t="s">
        <v>27</v>
      </c>
      <c r="W50" t="s">
        <v>49</v>
      </c>
      <c r="Y50" t="s">
        <v>653</v>
      </c>
    </row>
    <row r="51" spans="1:25" x14ac:dyDescent="0.25">
      <c r="A51">
        <v>50</v>
      </c>
      <c r="B51" t="s">
        <v>142</v>
      </c>
      <c r="C51">
        <v>2026</v>
      </c>
      <c r="D51">
        <v>2</v>
      </c>
      <c r="E51" t="s">
        <v>326</v>
      </c>
      <c r="F51" t="s">
        <v>669</v>
      </c>
      <c r="G51" t="s">
        <v>769</v>
      </c>
      <c r="H51" t="s">
        <v>20</v>
      </c>
      <c r="I51" t="s">
        <v>639</v>
      </c>
      <c r="J51" t="s">
        <v>770</v>
      </c>
      <c r="K51" t="s">
        <v>771</v>
      </c>
      <c r="L51" t="s">
        <v>642</v>
      </c>
      <c r="M51">
        <v>109580</v>
      </c>
      <c r="N51">
        <v>17532.8</v>
      </c>
      <c r="O51">
        <v>0</v>
      </c>
      <c r="P51">
        <v>127112.8</v>
      </c>
      <c r="Q51" t="s">
        <v>643</v>
      </c>
      <c r="R51" t="s">
        <v>644</v>
      </c>
      <c r="S51" t="s">
        <v>652</v>
      </c>
      <c r="T51" t="s">
        <v>29</v>
      </c>
      <c r="U51" t="s">
        <v>646</v>
      </c>
      <c r="V51" t="s">
        <v>49</v>
      </c>
      <c r="W51" t="s">
        <v>27</v>
      </c>
      <c r="Y51" t="s">
        <v>647</v>
      </c>
    </row>
    <row r="52" spans="1:25" x14ac:dyDescent="0.25">
      <c r="A52">
        <v>51</v>
      </c>
      <c r="B52" t="s">
        <v>143</v>
      </c>
      <c r="C52">
        <v>2026</v>
      </c>
      <c r="D52">
        <v>2</v>
      </c>
      <c r="E52" t="s">
        <v>332</v>
      </c>
      <c r="F52" t="s">
        <v>665</v>
      </c>
      <c r="G52" t="s">
        <v>772</v>
      </c>
      <c r="H52" t="s">
        <v>649</v>
      </c>
      <c r="I52" t="s">
        <v>639</v>
      </c>
      <c r="J52" t="s">
        <v>662</v>
      </c>
      <c r="K52" t="s">
        <v>773</v>
      </c>
      <c r="L52" t="s">
        <v>642</v>
      </c>
      <c r="M52">
        <v>23516</v>
      </c>
      <c r="N52">
        <v>3762.56</v>
      </c>
      <c r="O52">
        <v>0</v>
      </c>
      <c r="P52">
        <v>27278.560000000001</v>
      </c>
      <c r="Q52" t="s">
        <v>643</v>
      </c>
      <c r="R52" t="s">
        <v>644</v>
      </c>
      <c r="S52" t="s">
        <v>704</v>
      </c>
      <c r="T52" t="s">
        <v>50</v>
      </c>
      <c r="U52" t="s">
        <v>646</v>
      </c>
      <c r="V52" t="s">
        <v>49</v>
      </c>
      <c r="W52" t="s">
        <v>66</v>
      </c>
      <c r="Y52" t="s">
        <v>647</v>
      </c>
    </row>
    <row r="53" spans="1:25" x14ac:dyDescent="0.25">
      <c r="A53">
        <v>52</v>
      </c>
      <c r="B53" t="s">
        <v>145</v>
      </c>
      <c r="C53">
        <v>2026</v>
      </c>
      <c r="D53">
        <v>2</v>
      </c>
      <c r="E53" t="s">
        <v>312</v>
      </c>
      <c r="F53" t="s">
        <v>654</v>
      </c>
      <c r="G53" t="s">
        <v>774</v>
      </c>
      <c r="H53" t="s">
        <v>20</v>
      </c>
      <c r="I53" t="s">
        <v>656</v>
      </c>
      <c r="J53" t="s">
        <v>775</v>
      </c>
      <c r="K53" t="s">
        <v>776</v>
      </c>
      <c r="L53" t="s">
        <v>642</v>
      </c>
      <c r="M53">
        <v>52143</v>
      </c>
      <c r="N53">
        <v>8342.880000000001</v>
      </c>
      <c r="O53">
        <v>0</v>
      </c>
      <c r="P53">
        <v>60485.88</v>
      </c>
      <c r="Q53" t="s">
        <v>643</v>
      </c>
      <c r="R53" t="s">
        <v>644</v>
      </c>
      <c r="S53" t="s">
        <v>664</v>
      </c>
      <c r="T53" t="s">
        <v>75</v>
      </c>
      <c r="U53" t="s">
        <v>646</v>
      </c>
      <c r="V53" t="s">
        <v>49</v>
      </c>
      <c r="W53" t="s">
        <v>27</v>
      </c>
      <c r="Y53" t="s">
        <v>653</v>
      </c>
    </row>
    <row r="54" spans="1:25" x14ac:dyDescent="0.25">
      <c r="A54">
        <v>53</v>
      </c>
      <c r="B54" t="s">
        <v>147</v>
      </c>
      <c r="C54">
        <v>2026</v>
      </c>
      <c r="D54">
        <v>2</v>
      </c>
      <c r="E54" t="s">
        <v>332</v>
      </c>
      <c r="F54" t="s">
        <v>654</v>
      </c>
      <c r="G54" t="s">
        <v>777</v>
      </c>
      <c r="H54" t="s">
        <v>649</v>
      </c>
      <c r="I54" t="s">
        <v>656</v>
      </c>
      <c r="J54" t="s">
        <v>726</v>
      </c>
      <c r="K54" t="s">
        <v>778</v>
      </c>
      <c r="L54" t="s">
        <v>642</v>
      </c>
      <c r="M54">
        <v>19352</v>
      </c>
      <c r="N54">
        <v>3096.32</v>
      </c>
      <c r="O54">
        <v>0</v>
      </c>
      <c r="P54">
        <v>22448.32</v>
      </c>
      <c r="Q54" t="s">
        <v>643</v>
      </c>
      <c r="R54" t="s">
        <v>644</v>
      </c>
      <c r="S54" t="s">
        <v>704</v>
      </c>
      <c r="T54" t="s">
        <v>50</v>
      </c>
      <c r="U54" t="s">
        <v>646</v>
      </c>
      <c r="V54" t="s">
        <v>49</v>
      </c>
      <c r="W54" t="s">
        <v>27</v>
      </c>
      <c r="Y54" t="s">
        <v>647</v>
      </c>
    </row>
    <row r="55" spans="1:25" x14ac:dyDescent="0.25">
      <c r="A55">
        <v>54</v>
      </c>
      <c r="B55" t="s">
        <v>149</v>
      </c>
      <c r="C55">
        <v>2026</v>
      </c>
      <c r="D55">
        <v>2</v>
      </c>
      <c r="E55" t="s">
        <v>326</v>
      </c>
      <c r="F55" t="s">
        <v>669</v>
      </c>
      <c r="G55" t="s">
        <v>779</v>
      </c>
      <c r="H55" t="s">
        <v>20</v>
      </c>
      <c r="I55" t="s">
        <v>656</v>
      </c>
      <c r="J55" t="s">
        <v>41</v>
      </c>
      <c r="K55" t="s">
        <v>780</v>
      </c>
      <c r="L55" t="s">
        <v>642</v>
      </c>
      <c r="M55">
        <v>72445</v>
      </c>
      <c r="N55">
        <v>11591.2</v>
      </c>
      <c r="O55">
        <v>0</v>
      </c>
      <c r="P55">
        <v>84036.2</v>
      </c>
      <c r="Q55" t="s">
        <v>643</v>
      </c>
      <c r="R55" t="s">
        <v>644</v>
      </c>
      <c r="S55" t="s">
        <v>645</v>
      </c>
      <c r="T55" t="s">
        <v>29</v>
      </c>
      <c r="U55" t="s">
        <v>646</v>
      </c>
      <c r="V55" t="s">
        <v>40</v>
      </c>
      <c r="W55" t="s">
        <v>27</v>
      </c>
      <c r="Y55" t="s">
        <v>653</v>
      </c>
    </row>
    <row r="56" spans="1:25" x14ac:dyDescent="0.25">
      <c r="A56">
        <v>55</v>
      </c>
      <c r="B56" t="s">
        <v>150</v>
      </c>
      <c r="C56">
        <v>2026</v>
      </c>
      <c r="D56">
        <v>2</v>
      </c>
      <c r="E56" t="s">
        <v>347</v>
      </c>
      <c r="F56" t="s">
        <v>695</v>
      </c>
      <c r="G56" t="s">
        <v>763</v>
      </c>
      <c r="H56" t="s">
        <v>649</v>
      </c>
      <c r="I56" t="s">
        <v>650</v>
      </c>
      <c r="J56" t="s">
        <v>640</v>
      </c>
      <c r="K56" t="s">
        <v>781</v>
      </c>
      <c r="L56" t="s">
        <v>642</v>
      </c>
      <c r="M56">
        <v>135475</v>
      </c>
      <c r="N56">
        <v>21676</v>
      </c>
      <c r="O56">
        <v>0</v>
      </c>
      <c r="P56">
        <v>157151</v>
      </c>
      <c r="Q56" t="s">
        <v>643</v>
      </c>
      <c r="R56" t="s">
        <v>644</v>
      </c>
      <c r="S56" t="s">
        <v>652</v>
      </c>
      <c r="T56" t="s">
        <v>75</v>
      </c>
      <c r="U56" t="s">
        <v>646</v>
      </c>
      <c r="V56" t="s">
        <v>40</v>
      </c>
      <c r="W56" t="s">
        <v>27</v>
      </c>
      <c r="Y56" t="s">
        <v>647</v>
      </c>
    </row>
    <row r="57" spans="1:25" x14ac:dyDescent="0.25">
      <c r="A57">
        <v>56</v>
      </c>
      <c r="B57" t="s">
        <v>152</v>
      </c>
      <c r="C57">
        <v>2026</v>
      </c>
      <c r="D57">
        <v>2</v>
      </c>
      <c r="E57" t="s">
        <v>347</v>
      </c>
      <c r="F57" t="s">
        <v>654</v>
      </c>
      <c r="G57" t="s">
        <v>782</v>
      </c>
      <c r="H57" t="s">
        <v>20</v>
      </c>
      <c r="I57" t="s">
        <v>656</v>
      </c>
      <c r="J57" t="s">
        <v>41</v>
      </c>
      <c r="K57" t="s">
        <v>783</v>
      </c>
      <c r="L57" t="s">
        <v>642</v>
      </c>
      <c r="M57">
        <v>115829</v>
      </c>
      <c r="N57">
        <v>18532.64</v>
      </c>
      <c r="O57">
        <v>0</v>
      </c>
      <c r="P57">
        <v>134361.64000000001</v>
      </c>
      <c r="Q57" t="s">
        <v>643</v>
      </c>
      <c r="R57" t="s">
        <v>644</v>
      </c>
      <c r="S57" t="s">
        <v>652</v>
      </c>
      <c r="T57" t="s">
        <v>75</v>
      </c>
      <c r="U57" t="s">
        <v>646</v>
      </c>
      <c r="V57" t="s">
        <v>40</v>
      </c>
      <c r="W57" t="s">
        <v>66</v>
      </c>
      <c r="Y57" t="s">
        <v>647</v>
      </c>
    </row>
    <row r="58" spans="1:25" x14ac:dyDescent="0.25">
      <c r="A58">
        <v>57</v>
      </c>
      <c r="B58" t="s">
        <v>154</v>
      </c>
      <c r="C58">
        <v>2026</v>
      </c>
      <c r="D58">
        <v>2</v>
      </c>
      <c r="E58" t="s">
        <v>347</v>
      </c>
      <c r="F58" t="s">
        <v>654</v>
      </c>
      <c r="G58" t="s">
        <v>784</v>
      </c>
      <c r="H58" t="s">
        <v>20</v>
      </c>
      <c r="I58" t="s">
        <v>650</v>
      </c>
      <c r="J58" t="s">
        <v>714</v>
      </c>
      <c r="K58" t="s">
        <v>785</v>
      </c>
      <c r="L58" t="s">
        <v>642</v>
      </c>
      <c r="M58">
        <v>127643</v>
      </c>
      <c r="N58">
        <v>20422.88</v>
      </c>
      <c r="O58">
        <v>0</v>
      </c>
      <c r="P58">
        <v>148065.88</v>
      </c>
      <c r="Q58" t="s">
        <v>643</v>
      </c>
      <c r="R58" t="s">
        <v>644</v>
      </c>
      <c r="S58" t="s">
        <v>704</v>
      </c>
      <c r="T58" t="s">
        <v>75</v>
      </c>
      <c r="U58" t="s">
        <v>646</v>
      </c>
      <c r="V58" t="s">
        <v>49</v>
      </c>
      <c r="W58" t="s">
        <v>66</v>
      </c>
      <c r="Y58" t="s">
        <v>647</v>
      </c>
    </row>
    <row r="59" spans="1:25" x14ac:dyDescent="0.25">
      <c r="A59">
        <v>58</v>
      </c>
      <c r="B59" t="s">
        <v>156</v>
      </c>
      <c r="C59">
        <v>2026</v>
      </c>
      <c r="D59">
        <v>2</v>
      </c>
      <c r="E59" t="s">
        <v>312</v>
      </c>
      <c r="F59" t="s">
        <v>665</v>
      </c>
      <c r="G59" t="s">
        <v>786</v>
      </c>
      <c r="H59" t="s">
        <v>649</v>
      </c>
      <c r="I59" t="s">
        <v>650</v>
      </c>
      <c r="J59" t="s">
        <v>684</v>
      </c>
      <c r="K59" t="s">
        <v>787</v>
      </c>
      <c r="L59" t="s">
        <v>642</v>
      </c>
      <c r="M59">
        <v>139930</v>
      </c>
      <c r="N59">
        <v>22388.799999999999</v>
      </c>
      <c r="O59">
        <v>0</v>
      </c>
      <c r="P59">
        <v>162318.79999999999</v>
      </c>
      <c r="Q59" t="s">
        <v>643</v>
      </c>
      <c r="R59" t="s">
        <v>644</v>
      </c>
      <c r="S59" t="s">
        <v>652</v>
      </c>
      <c r="T59" t="s">
        <v>50</v>
      </c>
      <c r="U59" t="s">
        <v>646</v>
      </c>
      <c r="V59" t="s">
        <v>40</v>
      </c>
      <c r="W59" t="s">
        <v>66</v>
      </c>
      <c r="Y59" t="s">
        <v>647</v>
      </c>
    </row>
    <row r="60" spans="1:25" x14ac:dyDescent="0.25">
      <c r="A60">
        <v>59</v>
      </c>
      <c r="B60" t="s">
        <v>157</v>
      </c>
      <c r="C60">
        <v>2026</v>
      </c>
      <c r="D60">
        <v>2</v>
      </c>
      <c r="E60" t="s">
        <v>332</v>
      </c>
      <c r="F60" t="s">
        <v>637</v>
      </c>
      <c r="G60" t="s">
        <v>788</v>
      </c>
      <c r="H60" t="s">
        <v>649</v>
      </c>
      <c r="I60" t="s">
        <v>656</v>
      </c>
      <c r="J60" t="s">
        <v>739</v>
      </c>
      <c r="K60" t="s">
        <v>789</v>
      </c>
      <c r="L60" t="s">
        <v>642</v>
      </c>
      <c r="M60">
        <v>10061</v>
      </c>
      <c r="N60">
        <v>1609.76</v>
      </c>
      <c r="O60">
        <v>0</v>
      </c>
      <c r="P60">
        <v>11670.76</v>
      </c>
      <c r="Q60" t="s">
        <v>643</v>
      </c>
      <c r="R60" t="s">
        <v>644</v>
      </c>
      <c r="S60" t="s">
        <v>652</v>
      </c>
      <c r="T60" t="s">
        <v>50</v>
      </c>
      <c r="U60" t="s">
        <v>646</v>
      </c>
      <c r="V60" t="s">
        <v>27</v>
      </c>
      <c r="W60" t="s">
        <v>27</v>
      </c>
      <c r="Y60" t="s">
        <v>647</v>
      </c>
    </row>
    <row r="61" spans="1:25" x14ac:dyDescent="0.25">
      <c r="A61">
        <v>60</v>
      </c>
      <c r="B61" t="s">
        <v>159</v>
      </c>
      <c r="C61">
        <v>2026</v>
      </c>
      <c r="D61">
        <v>3</v>
      </c>
      <c r="E61" t="s">
        <v>312</v>
      </c>
      <c r="F61" t="s">
        <v>637</v>
      </c>
      <c r="G61" t="s">
        <v>790</v>
      </c>
      <c r="H61" t="s">
        <v>649</v>
      </c>
      <c r="I61" t="s">
        <v>639</v>
      </c>
      <c r="J61" t="s">
        <v>640</v>
      </c>
      <c r="K61" t="s">
        <v>791</v>
      </c>
      <c r="L61" t="s">
        <v>642</v>
      </c>
      <c r="M61">
        <v>124640</v>
      </c>
      <c r="N61">
        <v>19942.400000000001</v>
      </c>
      <c r="O61">
        <v>0</v>
      </c>
      <c r="P61">
        <v>144582.39999999999</v>
      </c>
      <c r="Q61" t="s">
        <v>643</v>
      </c>
      <c r="R61" t="s">
        <v>644</v>
      </c>
      <c r="S61" t="s">
        <v>704</v>
      </c>
      <c r="T61" t="s">
        <v>75</v>
      </c>
      <c r="U61" t="s">
        <v>646</v>
      </c>
      <c r="V61" t="s">
        <v>27</v>
      </c>
      <c r="W61" t="s">
        <v>49</v>
      </c>
      <c r="Y61" t="s">
        <v>653</v>
      </c>
    </row>
    <row r="62" spans="1:25" x14ac:dyDescent="0.25">
      <c r="A62">
        <v>61</v>
      </c>
      <c r="B62" t="s">
        <v>160</v>
      </c>
      <c r="C62">
        <v>2026</v>
      </c>
      <c r="D62">
        <v>3</v>
      </c>
      <c r="E62" t="s">
        <v>303</v>
      </c>
      <c r="F62" t="s">
        <v>695</v>
      </c>
      <c r="G62" t="s">
        <v>792</v>
      </c>
      <c r="H62" t="s">
        <v>20</v>
      </c>
      <c r="I62" t="s">
        <v>650</v>
      </c>
      <c r="J62" t="s">
        <v>687</v>
      </c>
      <c r="K62" t="s">
        <v>793</v>
      </c>
      <c r="L62" t="s">
        <v>642</v>
      </c>
      <c r="M62">
        <v>83733</v>
      </c>
      <c r="N62">
        <v>13397.28</v>
      </c>
      <c r="O62">
        <v>0</v>
      </c>
      <c r="P62">
        <v>97130.28</v>
      </c>
      <c r="Q62" t="s">
        <v>643</v>
      </c>
      <c r="R62" t="s">
        <v>644</v>
      </c>
      <c r="S62" t="s">
        <v>682</v>
      </c>
      <c r="T62" t="s">
        <v>75</v>
      </c>
      <c r="U62" t="s">
        <v>646</v>
      </c>
      <c r="V62" t="s">
        <v>49</v>
      </c>
      <c r="W62" t="s">
        <v>66</v>
      </c>
      <c r="Y62" t="s">
        <v>647</v>
      </c>
    </row>
    <row r="63" spans="1:25" x14ac:dyDescent="0.25">
      <c r="A63">
        <v>62</v>
      </c>
      <c r="B63" t="s">
        <v>162</v>
      </c>
      <c r="C63">
        <v>2026</v>
      </c>
      <c r="D63">
        <v>3</v>
      </c>
      <c r="E63" t="s">
        <v>326</v>
      </c>
      <c r="F63" t="s">
        <v>669</v>
      </c>
      <c r="G63" t="s">
        <v>794</v>
      </c>
      <c r="H63" t="s">
        <v>649</v>
      </c>
      <c r="I63" t="s">
        <v>656</v>
      </c>
      <c r="J63" t="s">
        <v>28</v>
      </c>
      <c r="K63" t="s">
        <v>795</v>
      </c>
      <c r="L63" t="s">
        <v>642</v>
      </c>
      <c r="M63">
        <v>68384</v>
      </c>
      <c r="N63">
        <v>10941.44</v>
      </c>
      <c r="O63">
        <v>0</v>
      </c>
      <c r="P63">
        <v>79325.439999999988</v>
      </c>
      <c r="Q63" t="s">
        <v>643</v>
      </c>
      <c r="R63" t="s">
        <v>644</v>
      </c>
      <c r="S63" t="s">
        <v>664</v>
      </c>
      <c r="T63" t="s">
        <v>42</v>
      </c>
      <c r="U63" t="s">
        <v>646</v>
      </c>
      <c r="V63" t="s">
        <v>27</v>
      </c>
      <c r="W63" t="s">
        <v>66</v>
      </c>
      <c r="Y63" t="s">
        <v>653</v>
      </c>
    </row>
    <row r="64" spans="1:25" x14ac:dyDescent="0.25">
      <c r="A64">
        <v>63</v>
      </c>
      <c r="B64" t="s">
        <v>164</v>
      </c>
      <c r="C64">
        <v>2026</v>
      </c>
      <c r="D64">
        <v>3</v>
      </c>
      <c r="E64" t="s">
        <v>312</v>
      </c>
      <c r="F64" t="s">
        <v>654</v>
      </c>
      <c r="G64" t="s">
        <v>796</v>
      </c>
      <c r="H64" t="s">
        <v>649</v>
      </c>
      <c r="I64" t="s">
        <v>656</v>
      </c>
      <c r="J64" t="s">
        <v>677</v>
      </c>
      <c r="K64" t="s">
        <v>797</v>
      </c>
      <c r="L64" t="s">
        <v>642</v>
      </c>
      <c r="M64">
        <v>118824</v>
      </c>
      <c r="N64">
        <v>19011.84</v>
      </c>
      <c r="O64">
        <v>0</v>
      </c>
      <c r="P64">
        <v>137835.84</v>
      </c>
      <c r="Q64" t="s">
        <v>643</v>
      </c>
      <c r="R64" t="s">
        <v>644</v>
      </c>
      <c r="S64" t="s">
        <v>652</v>
      </c>
      <c r="T64" t="s">
        <v>75</v>
      </c>
      <c r="U64" t="s">
        <v>646</v>
      </c>
      <c r="V64" t="s">
        <v>27</v>
      </c>
      <c r="W64" t="s">
        <v>66</v>
      </c>
      <c r="Y64" t="s">
        <v>653</v>
      </c>
    </row>
    <row r="65" spans="1:25" x14ac:dyDescent="0.25">
      <c r="A65">
        <v>64</v>
      </c>
      <c r="B65" t="s">
        <v>165</v>
      </c>
      <c r="C65">
        <v>2026</v>
      </c>
      <c r="D65">
        <v>3</v>
      </c>
      <c r="E65" t="s">
        <v>303</v>
      </c>
      <c r="F65" t="s">
        <v>654</v>
      </c>
      <c r="G65" t="s">
        <v>798</v>
      </c>
      <c r="H65" t="s">
        <v>649</v>
      </c>
      <c r="I65" t="s">
        <v>650</v>
      </c>
      <c r="J65" t="s">
        <v>770</v>
      </c>
      <c r="K65" t="s">
        <v>799</v>
      </c>
      <c r="L65" t="s">
        <v>642</v>
      </c>
      <c r="M65">
        <v>68825</v>
      </c>
      <c r="N65">
        <v>11012</v>
      </c>
      <c r="O65">
        <v>0</v>
      </c>
      <c r="P65">
        <v>79837</v>
      </c>
      <c r="Q65" t="s">
        <v>643</v>
      </c>
      <c r="R65" t="s">
        <v>644</v>
      </c>
      <c r="S65" t="s">
        <v>645</v>
      </c>
      <c r="T65" t="s">
        <v>50</v>
      </c>
      <c r="U65" t="s">
        <v>646</v>
      </c>
      <c r="V65" t="s">
        <v>49</v>
      </c>
      <c r="W65" t="s">
        <v>27</v>
      </c>
      <c r="Y65" t="s">
        <v>653</v>
      </c>
    </row>
    <row r="66" spans="1:25" x14ac:dyDescent="0.25">
      <c r="A66">
        <v>65</v>
      </c>
      <c r="B66" t="s">
        <v>167</v>
      </c>
      <c r="C66">
        <v>2026</v>
      </c>
      <c r="D66">
        <v>3</v>
      </c>
      <c r="E66" t="s">
        <v>326</v>
      </c>
      <c r="F66" t="s">
        <v>654</v>
      </c>
      <c r="G66" t="s">
        <v>800</v>
      </c>
      <c r="H66" t="s">
        <v>20</v>
      </c>
      <c r="I66" t="s">
        <v>656</v>
      </c>
      <c r="J66" t="s">
        <v>667</v>
      </c>
      <c r="K66" t="s">
        <v>801</v>
      </c>
      <c r="L66" t="s">
        <v>642</v>
      </c>
      <c r="M66">
        <v>149208</v>
      </c>
      <c r="N66">
        <v>23873.279999999999</v>
      </c>
      <c r="O66">
        <v>0</v>
      </c>
      <c r="P66">
        <v>173081.28</v>
      </c>
      <c r="Q66" t="s">
        <v>643</v>
      </c>
      <c r="R66" t="s">
        <v>644</v>
      </c>
      <c r="S66" t="s">
        <v>682</v>
      </c>
      <c r="T66" t="s">
        <v>42</v>
      </c>
      <c r="U66" t="s">
        <v>646</v>
      </c>
      <c r="V66" t="s">
        <v>49</v>
      </c>
      <c r="W66" t="s">
        <v>66</v>
      </c>
      <c r="Y66" t="s">
        <v>647</v>
      </c>
    </row>
    <row r="67" spans="1:25" x14ac:dyDescent="0.25">
      <c r="A67">
        <v>66</v>
      </c>
      <c r="B67" t="s">
        <v>168</v>
      </c>
      <c r="C67">
        <v>2026</v>
      </c>
      <c r="D67">
        <v>3</v>
      </c>
      <c r="E67" t="s">
        <v>312</v>
      </c>
      <c r="F67" t="s">
        <v>669</v>
      </c>
      <c r="G67" t="s">
        <v>802</v>
      </c>
      <c r="H67" t="s">
        <v>649</v>
      </c>
      <c r="I67" t="s">
        <v>656</v>
      </c>
      <c r="J67" t="s">
        <v>59</v>
      </c>
      <c r="K67" t="s">
        <v>803</v>
      </c>
      <c r="L67" t="s">
        <v>642</v>
      </c>
      <c r="M67">
        <v>92824</v>
      </c>
      <c r="N67">
        <v>14851.84</v>
      </c>
      <c r="O67">
        <v>0</v>
      </c>
      <c r="P67">
        <v>107675.84</v>
      </c>
      <c r="Q67" t="s">
        <v>643</v>
      </c>
      <c r="R67" t="s">
        <v>644</v>
      </c>
      <c r="S67" t="s">
        <v>682</v>
      </c>
      <c r="T67" t="s">
        <v>42</v>
      </c>
      <c r="U67" t="s">
        <v>646</v>
      </c>
      <c r="V67" t="s">
        <v>49</v>
      </c>
      <c r="W67" t="s">
        <v>66</v>
      </c>
      <c r="Y67" t="s">
        <v>653</v>
      </c>
    </row>
    <row r="68" spans="1:25" x14ac:dyDescent="0.25">
      <c r="A68">
        <v>67</v>
      </c>
      <c r="B68" t="s">
        <v>170</v>
      </c>
      <c r="C68">
        <v>2026</v>
      </c>
      <c r="D68">
        <v>3</v>
      </c>
      <c r="E68" t="s">
        <v>347</v>
      </c>
      <c r="F68" t="s">
        <v>669</v>
      </c>
      <c r="G68" t="s">
        <v>804</v>
      </c>
      <c r="H68" t="s">
        <v>20</v>
      </c>
      <c r="I68" t="s">
        <v>650</v>
      </c>
      <c r="J68" t="s">
        <v>662</v>
      </c>
      <c r="K68" t="s">
        <v>805</v>
      </c>
      <c r="L68" t="s">
        <v>642</v>
      </c>
      <c r="M68">
        <v>106503</v>
      </c>
      <c r="N68">
        <v>17040.48</v>
      </c>
      <c r="O68">
        <v>0</v>
      </c>
      <c r="P68">
        <v>123543.48</v>
      </c>
      <c r="Q68" t="s">
        <v>643</v>
      </c>
      <c r="R68" t="s">
        <v>644</v>
      </c>
      <c r="S68" t="s">
        <v>664</v>
      </c>
      <c r="T68" t="s">
        <v>75</v>
      </c>
      <c r="U68" t="s">
        <v>646</v>
      </c>
      <c r="V68" t="s">
        <v>49</v>
      </c>
      <c r="W68" t="s">
        <v>49</v>
      </c>
      <c r="Y68" t="s">
        <v>653</v>
      </c>
    </row>
    <row r="69" spans="1:25" x14ac:dyDescent="0.25">
      <c r="A69">
        <v>68</v>
      </c>
      <c r="B69" t="s">
        <v>172</v>
      </c>
      <c r="C69">
        <v>2026</v>
      </c>
      <c r="D69">
        <v>3</v>
      </c>
      <c r="E69" t="s">
        <v>347</v>
      </c>
      <c r="F69" t="s">
        <v>637</v>
      </c>
      <c r="G69" t="s">
        <v>806</v>
      </c>
      <c r="H69" t="s">
        <v>649</v>
      </c>
      <c r="I69" t="s">
        <v>656</v>
      </c>
      <c r="J69" t="s">
        <v>770</v>
      </c>
      <c r="K69" t="s">
        <v>807</v>
      </c>
      <c r="L69" t="s">
        <v>642</v>
      </c>
      <c r="M69">
        <v>103087</v>
      </c>
      <c r="N69">
        <v>16493.919999999998</v>
      </c>
      <c r="O69">
        <v>0</v>
      </c>
      <c r="P69">
        <v>119580.92</v>
      </c>
      <c r="Q69" t="s">
        <v>643</v>
      </c>
      <c r="R69" t="s">
        <v>644</v>
      </c>
      <c r="S69" t="s">
        <v>682</v>
      </c>
      <c r="T69" t="s">
        <v>42</v>
      </c>
      <c r="U69" t="s">
        <v>646</v>
      </c>
      <c r="V69" t="s">
        <v>49</v>
      </c>
      <c r="W69" t="s">
        <v>66</v>
      </c>
      <c r="Y69" t="s">
        <v>647</v>
      </c>
    </row>
    <row r="70" spans="1:25" x14ac:dyDescent="0.25">
      <c r="A70">
        <v>69</v>
      </c>
      <c r="B70" t="s">
        <v>173</v>
      </c>
      <c r="C70">
        <v>2026</v>
      </c>
      <c r="D70">
        <v>3</v>
      </c>
      <c r="E70" t="s">
        <v>347</v>
      </c>
      <c r="F70" t="s">
        <v>637</v>
      </c>
      <c r="G70" t="s">
        <v>808</v>
      </c>
      <c r="H70" t="s">
        <v>649</v>
      </c>
      <c r="I70" t="s">
        <v>656</v>
      </c>
      <c r="J70" t="s">
        <v>677</v>
      </c>
      <c r="K70" t="s">
        <v>809</v>
      </c>
      <c r="L70" t="s">
        <v>642</v>
      </c>
      <c r="M70">
        <v>108480</v>
      </c>
      <c r="N70">
        <v>17356.8</v>
      </c>
      <c r="O70">
        <v>0</v>
      </c>
      <c r="P70">
        <v>125836.8</v>
      </c>
      <c r="Q70" t="s">
        <v>643</v>
      </c>
      <c r="R70" t="s">
        <v>644</v>
      </c>
      <c r="S70" t="s">
        <v>682</v>
      </c>
      <c r="T70" t="s">
        <v>42</v>
      </c>
      <c r="U70" t="s">
        <v>646</v>
      </c>
      <c r="V70" t="s">
        <v>27</v>
      </c>
      <c r="W70" t="s">
        <v>49</v>
      </c>
      <c r="Y70" t="s">
        <v>647</v>
      </c>
    </row>
    <row r="71" spans="1:25" x14ac:dyDescent="0.25">
      <c r="A71">
        <v>70</v>
      </c>
      <c r="B71" t="s">
        <v>174</v>
      </c>
      <c r="C71">
        <v>2026</v>
      </c>
      <c r="D71">
        <v>3</v>
      </c>
      <c r="E71" t="s">
        <v>347</v>
      </c>
      <c r="F71" t="s">
        <v>637</v>
      </c>
      <c r="G71" t="s">
        <v>810</v>
      </c>
      <c r="H71" t="s">
        <v>649</v>
      </c>
      <c r="I71" t="s">
        <v>650</v>
      </c>
      <c r="J71" t="s">
        <v>671</v>
      </c>
      <c r="K71" t="s">
        <v>811</v>
      </c>
      <c r="L71" t="s">
        <v>642</v>
      </c>
      <c r="M71">
        <v>80317</v>
      </c>
      <c r="N71">
        <v>12850.72</v>
      </c>
      <c r="O71">
        <v>0</v>
      </c>
      <c r="P71">
        <v>93167.719999999987</v>
      </c>
      <c r="Q71" t="s">
        <v>643</v>
      </c>
      <c r="R71" t="s">
        <v>644</v>
      </c>
      <c r="S71" t="s">
        <v>645</v>
      </c>
      <c r="T71" t="s">
        <v>75</v>
      </c>
      <c r="U71" t="s">
        <v>646</v>
      </c>
      <c r="V71" t="s">
        <v>49</v>
      </c>
      <c r="W71" t="s">
        <v>49</v>
      </c>
      <c r="Y71" t="s">
        <v>653</v>
      </c>
    </row>
    <row r="72" spans="1:25" x14ac:dyDescent="0.25">
      <c r="A72">
        <v>71</v>
      </c>
      <c r="B72" t="s">
        <v>175</v>
      </c>
      <c r="C72">
        <v>2026</v>
      </c>
      <c r="D72">
        <v>3</v>
      </c>
      <c r="E72" t="s">
        <v>303</v>
      </c>
      <c r="F72" t="s">
        <v>695</v>
      </c>
      <c r="G72" t="s">
        <v>711</v>
      </c>
      <c r="H72" t="s">
        <v>20</v>
      </c>
      <c r="I72" t="s">
        <v>639</v>
      </c>
      <c r="J72" t="s">
        <v>680</v>
      </c>
      <c r="K72" t="s">
        <v>812</v>
      </c>
      <c r="L72" t="s">
        <v>642</v>
      </c>
      <c r="M72">
        <v>37613</v>
      </c>
      <c r="N72">
        <v>6018.08</v>
      </c>
      <c r="O72">
        <v>0</v>
      </c>
      <c r="P72">
        <v>43631.079999999987</v>
      </c>
      <c r="Q72" t="s">
        <v>643</v>
      </c>
      <c r="R72" t="s">
        <v>644</v>
      </c>
      <c r="S72" t="s">
        <v>645</v>
      </c>
      <c r="T72" t="s">
        <v>75</v>
      </c>
      <c r="U72" t="s">
        <v>646</v>
      </c>
      <c r="V72" t="s">
        <v>49</v>
      </c>
      <c r="W72" t="s">
        <v>49</v>
      </c>
      <c r="Y72" t="s">
        <v>647</v>
      </c>
    </row>
    <row r="73" spans="1:25" x14ac:dyDescent="0.25">
      <c r="A73">
        <v>72</v>
      </c>
      <c r="B73" t="s">
        <v>176</v>
      </c>
      <c r="C73">
        <v>2026</v>
      </c>
      <c r="D73">
        <v>3</v>
      </c>
      <c r="E73" t="s">
        <v>332</v>
      </c>
      <c r="F73" t="s">
        <v>665</v>
      </c>
      <c r="G73" t="s">
        <v>813</v>
      </c>
      <c r="H73" t="s">
        <v>649</v>
      </c>
      <c r="I73" t="s">
        <v>639</v>
      </c>
      <c r="J73" t="s">
        <v>699</v>
      </c>
      <c r="K73" t="s">
        <v>814</v>
      </c>
      <c r="L73" t="s">
        <v>642</v>
      </c>
      <c r="M73">
        <v>48440</v>
      </c>
      <c r="N73">
        <v>7750.4000000000005</v>
      </c>
      <c r="O73">
        <v>0</v>
      </c>
      <c r="P73">
        <v>56190.399999999987</v>
      </c>
      <c r="Q73" t="s">
        <v>643</v>
      </c>
      <c r="R73" t="s">
        <v>644</v>
      </c>
      <c r="S73" t="s">
        <v>704</v>
      </c>
      <c r="T73" t="s">
        <v>29</v>
      </c>
      <c r="U73" t="s">
        <v>646</v>
      </c>
      <c r="V73" t="s">
        <v>49</v>
      </c>
      <c r="W73" t="s">
        <v>27</v>
      </c>
      <c r="Y73" t="s">
        <v>653</v>
      </c>
    </row>
    <row r="74" spans="1:25" x14ac:dyDescent="0.25">
      <c r="A74">
        <v>73</v>
      </c>
      <c r="B74" t="s">
        <v>178</v>
      </c>
      <c r="C74">
        <v>2026</v>
      </c>
      <c r="D74">
        <v>3</v>
      </c>
      <c r="E74" t="s">
        <v>332</v>
      </c>
      <c r="F74" t="s">
        <v>669</v>
      </c>
      <c r="G74" t="s">
        <v>815</v>
      </c>
      <c r="H74" t="s">
        <v>20</v>
      </c>
      <c r="I74" t="s">
        <v>656</v>
      </c>
      <c r="J74" t="s">
        <v>714</v>
      </c>
      <c r="K74" t="s">
        <v>816</v>
      </c>
      <c r="L74" t="s">
        <v>642</v>
      </c>
      <c r="M74">
        <v>116543</v>
      </c>
      <c r="N74">
        <v>18646.88</v>
      </c>
      <c r="O74">
        <v>0</v>
      </c>
      <c r="P74">
        <v>135189.88</v>
      </c>
      <c r="Q74" t="s">
        <v>643</v>
      </c>
      <c r="R74" t="s">
        <v>644</v>
      </c>
      <c r="S74" t="s">
        <v>682</v>
      </c>
      <c r="T74" t="s">
        <v>75</v>
      </c>
      <c r="U74" t="s">
        <v>646</v>
      </c>
      <c r="V74" t="s">
        <v>40</v>
      </c>
      <c r="W74" t="s">
        <v>27</v>
      </c>
      <c r="Y74" t="s">
        <v>647</v>
      </c>
    </row>
    <row r="75" spans="1:25" x14ac:dyDescent="0.25">
      <c r="A75">
        <v>74</v>
      </c>
      <c r="B75" t="s">
        <v>179</v>
      </c>
      <c r="C75">
        <v>2026</v>
      </c>
      <c r="D75">
        <v>3</v>
      </c>
      <c r="E75" t="s">
        <v>303</v>
      </c>
      <c r="F75" t="s">
        <v>665</v>
      </c>
      <c r="G75" t="s">
        <v>817</v>
      </c>
      <c r="H75" t="s">
        <v>649</v>
      </c>
      <c r="I75" t="s">
        <v>650</v>
      </c>
      <c r="J75" t="s">
        <v>662</v>
      </c>
      <c r="K75" t="s">
        <v>818</v>
      </c>
      <c r="L75" t="s">
        <v>642</v>
      </c>
      <c r="M75">
        <v>83981</v>
      </c>
      <c r="N75">
        <v>13436.96</v>
      </c>
      <c r="O75">
        <v>0</v>
      </c>
      <c r="P75">
        <v>97417.959999999992</v>
      </c>
      <c r="Q75" t="s">
        <v>643</v>
      </c>
      <c r="R75" t="s">
        <v>644</v>
      </c>
      <c r="S75" t="s">
        <v>652</v>
      </c>
      <c r="T75" t="s">
        <v>75</v>
      </c>
      <c r="U75" t="s">
        <v>646</v>
      </c>
      <c r="V75" t="s">
        <v>40</v>
      </c>
      <c r="W75" t="s">
        <v>27</v>
      </c>
      <c r="Y75" t="s">
        <v>653</v>
      </c>
    </row>
    <row r="76" spans="1:25" x14ac:dyDescent="0.25">
      <c r="A76">
        <v>75</v>
      </c>
      <c r="B76" t="s">
        <v>180</v>
      </c>
      <c r="C76">
        <v>2026</v>
      </c>
      <c r="D76">
        <v>3</v>
      </c>
      <c r="E76" t="s">
        <v>312</v>
      </c>
      <c r="F76" t="s">
        <v>669</v>
      </c>
      <c r="G76" t="s">
        <v>819</v>
      </c>
      <c r="H76" t="s">
        <v>649</v>
      </c>
      <c r="I76" t="s">
        <v>656</v>
      </c>
      <c r="J76" t="s">
        <v>640</v>
      </c>
      <c r="K76" t="s">
        <v>820</v>
      </c>
      <c r="L76" t="s">
        <v>642</v>
      </c>
      <c r="M76">
        <v>135599</v>
      </c>
      <c r="N76">
        <v>21695.84</v>
      </c>
      <c r="O76">
        <v>0</v>
      </c>
      <c r="P76">
        <v>157294.84</v>
      </c>
      <c r="Q76" t="s">
        <v>643</v>
      </c>
      <c r="R76" t="s">
        <v>644</v>
      </c>
      <c r="S76" t="s">
        <v>664</v>
      </c>
      <c r="T76" t="s">
        <v>75</v>
      </c>
      <c r="U76" t="s">
        <v>646</v>
      </c>
      <c r="V76" t="s">
        <v>40</v>
      </c>
      <c r="W76" t="s">
        <v>66</v>
      </c>
      <c r="Y76" t="s">
        <v>653</v>
      </c>
    </row>
    <row r="77" spans="1:25" x14ac:dyDescent="0.25">
      <c r="A77">
        <v>76</v>
      </c>
      <c r="B77" t="s">
        <v>182</v>
      </c>
      <c r="C77">
        <v>2026</v>
      </c>
      <c r="D77">
        <v>3</v>
      </c>
      <c r="E77" t="s">
        <v>303</v>
      </c>
      <c r="F77" t="s">
        <v>669</v>
      </c>
      <c r="G77" t="s">
        <v>821</v>
      </c>
      <c r="H77" t="s">
        <v>649</v>
      </c>
      <c r="I77" t="s">
        <v>656</v>
      </c>
      <c r="J77" t="s">
        <v>699</v>
      </c>
      <c r="K77" t="s">
        <v>822</v>
      </c>
      <c r="L77" t="s">
        <v>642</v>
      </c>
      <c r="M77">
        <v>12933</v>
      </c>
      <c r="N77">
        <v>2069.2800000000002</v>
      </c>
      <c r="O77">
        <v>0</v>
      </c>
      <c r="P77">
        <v>15002.28</v>
      </c>
      <c r="Q77" t="s">
        <v>643</v>
      </c>
      <c r="R77" t="s">
        <v>644</v>
      </c>
      <c r="S77" t="s">
        <v>704</v>
      </c>
      <c r="T77" t="s">
        <v>75</v>
      </c>
      <c r="U77" t="s">
        <v>646</v>
      </c>
      <c r="V77" t="s">
        <v>40</v>
      </c>
      <c r="W77" t="s">
        <v>66</v>
      </c>
      <c r="Y77" t="s">
        <v>647</v>
      </c>
    </row>
    <row r="78" spans="1:25" x14ac:dyDescent="0.25">
      <c r="A78">
        <v>77</v>
      </c>
      <c r="B78" t="s">
        <v>183</v>
      </c>
      <c r="C78">
        <v>2026</v>
      </c>
      <c r="D78">
        <v>3</v>
      </c>
      <c r="E78" t="s">
        <v>332</v>
      </c>
      <c r="F78" t="s">
        <v>669</v>
      </c>
      <c r="G78" t="s">
        <v>823</v>
      </c>
      <c r="H78" t="s">
        <v>20</v>
      </c>
      <c r="I78" t="s">
        <v>650</v>
      </c>
      <c r="J78" t="s">
        <v>726</v>
      </c>
      <c r="K78" t="s">
        <v>824</v>
      </c>
      <c r="L78" t="s">
        <v>642</v>
      </c>
      <c r="M78">
        <v>53970</v>
      </c>
      <c r="N78">
        <v>8635.2000000000007</v>
      </c>
      <c r="O78">
        <v>0</v>
      </c>
      <c r="P78">
        <v>62605.2</v>
      </c>
      <c r="Q78" t="s">
        <v>643</v>
      </c>
      <c r="R78" t="s">
        <v>644</v>
      </c>
      <c r="S78" t="s">
        <v>704</v>
      </c>
      <c r="T78" t="s">
        <v>75</v>
      </c>
      <c r="U78" t="s">
        <v>646</v>
      </c>
      <c r="V78" t="s">
        <v>40</v>
      </c>
      <c r="W78" t="s">
        <v>66</v>
      </c>
      <c r="Y78" t="s">
        <v>653</v>
      </c>
    </row>
    <row r="79" spans="1:25" x14ac:dyDescent="0.25">
      <c r="A79">
        <v>78</v>
      </c>
      <c r="B79" t="s">
        <v>184</v>
      </c>
      <c r="C79">
        <v>2026</v>
      </c>
      <c r="D79">
        <v>3</v>
      </c>
      <c r="E79" t="s">
        <v>303</v>
      </c>
      <c r="F79" t="s">
        <v>695</v>
      </c>
      <c r="G79" t="s">
        <v>825</v>
      </c>
      <c r="H79" t="s">
        <v>649</v>
      </c>
      <c r="I79" t="s">
        <v>656</v>
      </c>
      <c r="J79" t="s">
        <v>775</v>
      </c>
      <c r="K79" t="s">
        <v>826</v>
      </c>
      <c r="L79" t="s">
        <v>642</v>
      </c>
      <c r="M79">
        <v>96725</v>
      </c>
      <c r="N79">
        <v>15476</v>
      </c>
      <c r="O79">
        <v>0</v>
      </c>
      <c r="P79">
        <v>112201</v>
      </c>
      <c r="Q79" t="s">
        <v>643</v>
      </c>
      <c r="R79" t="s">
        <v>644</v>
      </c>
      <c r="S79" t="s">
        <v>645</v>
      </c>
      <c r="T79" t="s">
        <v>50</v>
      </c>
      <c r="U79" t="s">
        <v>646</v>
      </c>
      <c r="V79" t="s">
        <v>27</v>
      </c>
      <c r="W79" t="s">
        <v>66</v>
      </c>
      <c r="Y79" t="s">
        <v>647</v>
      </c>
    </row>
    <row r="80" spans="1:25" x14ac:dyDescent="0.25">
      <c r="A80">
        <v>79</v>
      </c>
      <c r="B80" t="s">
        <v>186</v>
      </c>
      <c r="C80">
        <v>2026</v>
      </c>
      <c r="D80">
        <v>3</v>
      </c>
      <c r="E80" t="s">
        <v>312</v>
      </c>
      <c r="F80" t="s">
        <v>695</v>
      </c>
      <c r="G80" t="s">
        <v>827</v>
      </c>
      <c r="H80" t="s">
        <v>649</v>
      </c>
      <c r="I80" t="s">
        <v>656</v>
      </c>
      <c r="J80" t="s">
        <v>739</v>
      </c>
      <c r="K80" t="s">
        <v>828</v>
      </c>
      <c r="L80" t="s">
        <v>642</v>
      </c>
      <c r="M80">
        <v>102589</v>
      </c>
      <c r="N80">
        <v>16414.240000000002</v>
      </c>
      <c r="O80">
        <v>0</v>
      </c>
      <c r="P80">
        <v>119003.24</v>
      </c>
      <c r="Q80" t="s">
        <v>643</v>
      </c>
      <c r="R80" t="s">
        <v>644</v>
      </c>
      <c r="S80" t="s">
        <v>704</v>
      </c>
      <c r="T80" t="s">
        <v>75</v>
      </c>
      <c r="U80" t="s">
        <v>646</v>
      </c>
      <c r="V80" t="s">
        <v>40</v>
      </c>
      <c r="W80" t="s">
        <v>66</v>
      </c>
      <c r="Y80" t="s">
        <v>647</v>
      </c>
    </row>
    <row r="81" spans="1:25" x14ac:dyDescent="0.25">
      <c r="A81">
        <v>80</v>
      </c>
      <c r="B81" t="s">
        <v>187</v>
      </c>
      <c r="C81">
        <v>2026</v>
      </c>
      <c r="D81">
        <v>3</v>
      </c>
      <c r="E81" t="s">
        <v>326</v>
      </c>
      <c r="F81" t="s">
        <v>654</v>
      </c>
      <c r="G81" t="s">
        <v>829</v>
      </c>
      <c r="H81" t="s">
        <v>20</v>
      </c>
      <c r="I81" t="s">
        <v>639</v>
      </c>
      <c r="J81" t="s">
        <v>739</v>
      </c>
      <c r="K81" t="s">
        <v>830</v>
      </c>
      <c r="L81" t="s">
        <v>642</v>
      </c>
      <c r="M81">
        <v>46798</v>
      </c>
      <c r="N81">
        <v>7487.68</v>
      </c>
      <c r="O81">
        <v>0</v>
      </c>
      <c r="P81">
        <v>54285.679999999993</v>
      </c>
      <c r="Q81" t="s">
        <v>643</v>
      </c>
      <c r="R81" t="s">
        <v>644</v>
      </c>
      <c r="S81" t="s">
        <v>652</v>
      </c>
      <c r="T81" t="s">
        <v>75</v>
      </c>
      <c r="U81" t="s">
        <v>646</v>
      </c>
      <c r="V81" t="s">
        <v>40</v>
      </c>
      <c r="W81" t="s">
        <v>66</v>
      </c>
      <c r="Y81" t="s">
        <v>647</v>
      </c>
    </row>
    <row r="82" spans="1:25" x14ac:dyDescent="0.25">
      <c r="A82">
        <v>81</v>
      </c>
      <c r="B82" t="s">
        <v>188</v>
      </c>
      <c r="C82">
        <v>2026</v>
      </c>
      <c r="D82">
        <v>3</v>
      </c>
      <c r="E82" t="s">
        <v>326</v>
      </c>
      <c r="F82" t="s">
        <v>637</v>
      </c>
      <c r="G82" t="s">
        <v>831</v>
      </c>
      <c r="H82" t="s">
        <v>20</v>
      </c>
      <c r="I82" t="s">
        <v>639</v>
      </c>
      <c r="J82" t="s">
        <v>770</v>
      </c>
      <c r="K82" t="s">
        <v>832</v>
      </c>
      <c r="L82" t="s">
        <v>642</v>
      </c>
      <c r="M82">
        <v>71522</v>
      </c>
      <c r="N82">
        <v>11443.52</v>
      </c>
      <c r="O82">
        <v>0</v>
      </c>
      <c r="P82">
        <v>82965.51999999999</v>
      </c>
      <c r="Q82" t="s">
        <v>643</v>
      </c>
      <c r="R82" t="s">
        <v>644</v>
      </c>
      <c r="S82" t="s">
        <v>704</v>
      </c>
      <c r="T82" t="s">
        <v>50</v>
      </c>
      <c r="U82" t="s">
        <v>646</v>
      </c>
      <c r="V82" t="s">
        <v>27</v>
      </c>
      <c r="W82" t="s">
        <v>27</v>
      </c>
      <c r="Y82" t="s">
        <v>653</v>
      </c>
    </row>
    <row r="83" spans="1:25" x14ac:dyDescent="0.25">
      <c r="A83">
        <v>82</v>
      </c>
      <c r="B83" t="s">
        <v>189</v>
      </c>
      <c r="C83">
        <v>2026</v>
      </c>
      <c r="D83">
        <v>3</v>
      </c>
      <c r="E83" t="s">
        <v>347</v>
      </c>
      <c r="F83" t="s">
        <v>665</v>
      </c>
      <c r="G83" t="s">
        <v>833</v>
      </c>
      <c r="H83" t="s">
        <v>649</v>
      </c>
      <c r="I83" t="s">
        <v>639</v>
      </c>
      <c r="J83" t="s">
        <v>41</v>
      </c>
      <c r="K83" t="s">
        <v>834</v>
      </c>
      <c r="L83" t="s">
        <v>642</v>
      </c>
      <c r="M83">
        <v>97055</v>
      </c>
      <c r="N83">
        <v>15528.8</v>
      </c>
      <c r="O83">
        <v>0</v>
      </c>
      <c r="P83">
        <v>112583.8</v>
      </c>
      <c r="Q83" t="s">
        <v>643</v>
      </c>
      <c r="R83" t="s">
        <v>644</v>
      </c>
      <c r="S83" t="s">
        <v>704</v>
      </c>
      <c r="T83" t="s">
        <v>29</v>
      </c>
      <c r="U83" t="s">
        <v>646</v>
      </c>
      <c r="V83" t="s">
        <v>49</v>
      </c>
      <c r="W83" t="s">
        <v>49</v>
      </c>
      <c r="Y83" t="s">
        <v>653</v>
      </c>
    </row>
    <row r="84" spans="1:25" x14ac:dyDescent="0.25">
      <c r="A84">
        <v>83</v>
      </c>
      <c r="B84" t="s">
        <v>191</v>
      </c>
      <c r="C84">
        <v>2026</v>
      </c>
      <c r="D84">
        <v>3</v>
      </c>
      <c r="E84" t="s">
        <v>347</v>
      </c>
      <c r="F84" t="s">
        <v>637</v>
      </c>
      <c r="G84" t="s">
        <v>835</v>
      </c>
      <c r="H84" t="s">
        <v>20</v>
      </c>
      <c r="I84" t="s">
        <v>639</v>
      </c>
      <c r="J84" t="s">
        <v>671</v>
      </c>
      <c r="K84" t="s">
        <v>836</v>
      </c>
      <c r="L84" t="s">
        <v>642</v>
      </c>
      <c r="M84">
        <v>61210</v>
      </c>
      <c r="N84">
        <v>9793.6</v>
      </c>
      <c r="O84">
        <v>0</v>
      </c>
      <c r="P84">
        <v>71003.599999999991</v>
      </c>
      <c r="Q84" t="s">
        <v>643</v>
      </c>
      <c r="R84" t="s">
        <v>644</v>
      </c>
      <c r="S84" t="s">
        <v>645</v>
      </c>
      <c r="T84" t="s">
        <v>42</v>
      </c>
      <c r="U84" t="s">
        <v>646</v>
      </c>
      <c r="V84" t="s">
        <v>27</v>
      </c>
      <c r="W84" t="s">
        <v>66</v>
      </c>
      <c r="Y84" t="s">
        <v>653</v>
      </c>
    </row>
    <row r="85" spans="1:25" x14ac:dyDescent="0.25">
      <c r="A85">
        <v>84</v>
      </c>
      <c r="B85" t="s">
        <v>193</v>
      </c>
      <c r="C85">
        <v>2026</v>
      </c>
      <c r="D85">
        <v>3</v>
      </c>
      <c r="E85" t="s">
        <v>312</v>
      </c>
      <c r="F85" t="s">
        <v>669</v>
      </c>
      <c r="G85" t="s">
        <v>837</v>
      </c>
      <c r="H85" t="s">
        <v>20</v>
      </c>
      <c r="I85" t="s">
        <v>656</v>
      </c>
      <c r="J85" t="s">
        <v>640</v>
      </c>
      <c r="K85" t="s">
        <v>838</v>
      </c>
      <c r="L85" t="s">
        <v>642</v>
      </c>
      <c r="M85">
        <v>87475</v>
      </c>
      <c r="N85">
        <v>13996</v>
      </c>
      <c r="O85">
        <v>0</v>
      </c>
      <c r="P85">
        <v>101471</v>
      </c>
      <c r="Q85" t="s">
        <v>643</v>
      </c>
      <c r="R85" t="s">
        <v>644</v>
      </c>
      <c r="S85" t="s">
        <v>664</v>
      </c>
      <c r="T85" t="s">
        <v>75</v>
      </c>
      <c r="U85" t="s">
        <v>646</v>
      </c>
      <c r="V85" t="s">
        <v>40</v>
      </c>
      <c r="W85" t="s">
        <v>49</v>
      </c>
      <c r="Y85" t="s">
        <v>653</v>
      </c>
    </row>
    <row r="86" spans="1:25" x14ac:dyDescent="0.25">
      <c r="A86">
        <v>85</v>
      </c>
      <c r="B86" t="s">
        <v>195</v>
      </c>
      <c r="C86">
        <v>2026</v>
      </c>
      <c r="D86">
        <v>3</v>
      </c>
      <c r="E86" t="s">
        <v>303</v>
      </c>
      <c r="F86" t="s">
        <v>654</v>
      </c>
      <c r="G86" t="s">
        <v>839</v>
      </c>
      <c r="H86" t="s">
        <v>20</v>
      </c>
      <c r="I86" t="s">
        <v>656</v>
      </c>
      <c r="J86" t="s">
        <v>699</v>
      </c>
      <c r="K86" t="s">
        <v>840</v>
      </c>
      <c r="L86" t="s">
        <v>642</v>
      </c>
      <c r="M86">
        <v>56021</v>
      </c>
      <c r="N86">
        <v>8963.36</v>
      </c>
      <c r="O86">
        <v>0</v>
      </c>
      <c r="P86">
        <v>64984.359999999993</v>
      </c>
      <c r="Q86" t="s">
        <v>643</v>
      </c>
      <c r="R86" t="s">
        <v>644</v>
      </c>
      <c r="S86" t="s">
        <v>652</v>
      </c>
      <c r="T86" t="s">
        <v>42</v>
      </c>
      <c r="U86" t="s">
        <v>646</v>
      </c>
      <c r="V86" t="s">
        <v>49</v>
      </c>
      <c r="W86" t="s">
        <v>49</v>
      </c>
      <c r="Y86" t="s">
        <v>647</v>
      </c>
    </row>
    <row r="87" spans="1:25" x14ac:dyDescent="0.25">
      <c r="A87">
        <v>86</v>
      </c>
      <c r="B87" t="s">
        <v>196</v>
      </c>
      <c r="C87">
        <v>2026</v>
      </c>
      <c r="D87">
        <v>3</v>
      </c>
      <c r="E87" t="s">
        <v>303</v>
      </c>
      <c r="F87" t="s">
        <v>695</v>
      </c>
      <c r="G87" t="s">
        <v>841</v>
      </c>
      <c r="H87" t="s">
        <v>20</v>
      </c>
      <c r="I87" t="s">
        <v>650</v>
      </c>
      <c r="J87" t="s">
        <v>667</v>
      </c>
      <c r="K87" t="s">
        <v>842</v>
      </c>
      <c r="L87" t="s">
        <v>642</v>
      </c>
      <c r="M87">
        <v>34359</v>
      </c>
      <c r="N87">
        <v>5497.4400000000014</v>
      </c>
      <c r="O87">
        <v>0</v>
      </c>
      <c r="P87">
        <v>39856.44</v>
      </c>
      <c r="Q87" t="s">
        <v>643</v>
      </c>
      <c r="R87" t="s">
        <v>644</v>
      </c>
      <c r="S87" t="s">
        <v>664</v>
      </c>
      <c r="T87" t="s">
        <v>50</v>
      </c>
      <c r="U87" t="s">
        <v>646</v>
      </c>
      <c r="V87" t="s">
        <v>27</v>
      </c>
      <c r="W87" t="s">
        <v>49</v>
      </c>
      <c r="Y87" t="s">
        <v>653</v>
      </c>
    </row>
    <row r="88" spans="1:25" x14ac:dyDescent="0.25">
      <c r="A88">
        <v>87</v>
      </c>
      <c r="B88" t="s">
        <v>197</v>
      </c>
      <c r="C88">
        <v>2026</v>
      </c>
      <c r="D88">
        <v>3</v>
      </c>
      <c r="E88" t="s">
        <v>312</v>
      </c>
      <c r="F88" t="s">
        <v>665</v>
      </c>
      <c r="G88" t="s">
        <v>843</v>
      </c>
      <c r="H88" t="s">
        <v>649</v>
      </c>
      <c r="I88" t="s">
        <v>650</v>
      </c>
      <c r="J88" t="s">
        <v>775</v>
      </c>
      <c r="K88" t="s">
        <v>844</v>
      </c>
      <c r="L88" t="s">
        <v>642</v>
      </c>
      <c r="M88">
        <v>118407</v>
      </c>
      <c r="N88">
        <v>18945.12</v>
      </c>
      <c r="O88">
        <v>0</v>
      </c>
      <c r="P88">
        <v>137352.12</v>
      </c>
      <c r="Q88" t="s">
        <v>643</v>
      </c>
      <c r="R88" t="s">
        <v>644</v>
      </c>
      <c r="S88" t="s">
        <v>664</v>
      </c>
      <c r="T88" t="s">
        <v>50</v>
      </c>
      <c r="U88" t="s">
        <v>646</v>
      </c>
      <c r="V88" t="s">
        <v>49</v>
      </c>
      <c r="W88" t="s">
        <v>66</v>
      </c>
      <c r="Y88" t="s">
        <v>653</v>
      </c>
    </row>
    <row r="89" spans="1:25" x14ac:dyDescent="0.25">
      <c r="A89">
        <v>88</v>
      </c>
      <c r="B89" t="s">
        <v>199</v>
      </c>
      <c r="C89">
        <v>2026</v>
      </c>
      <c r="D89">
        <v>3</v>
      </c>
      <c r="E89" t="s">
        <v>326</v>
      </c>
      <c r="F89" t="s">
        <v>669</v>
      </c>
      <c r="G89" t="s">
        <v>845</v>
      </c>
      <c r="H89" t="s">
        <v>20</v>
      </c>
      <c r="I89" t="s">
        <v>639</v>
      </c>
      <c r="J89" t="s">
        <v>684</v>
      </c>
      <c r="K89" t="s">
        <v>846</v>
      </c>
      <c r="L89" t="s">
        <v>642</v>
      </c>
      <c r="M89">
        <v>22996</v>
      </c>
      <c r="N89">
        <v>3679.36</v>
      </c>
      <c r="O89">
        <v>0</v>
      </c>
      <c r="P89">
        <v>26675.360000000001</v>
      </c>
      <c r="Q89" t="s">
        <v>643</v>
      </c>
      <c r="R89" t="s">
        <v>644</v>
      </c>
      <c r="S89" t="s">
        <v>652</v>
      </c>
      <c r="T89" t="s">
        <v>42</v>
      </c>
      <c r="U89" t="s">
        <v>646</v>
      </c>
      <c r="V89" t="s">
        <v>40</v>
      </c>
      <c r="W89" t="s">
        <v>27</v>
      </c>
      <c r="Y89" t="s">
        <v>647</v>
      </c>
    </row>
    <row r="90" spans="1:25" x14ac:dyDescent="0.25">
      <c r="A90">
        <v>89</v>
      </c>
      <c r="B90" t="s">
        <v>200</v>
      </c>
      <c r="C90">
        <v>2026</v>
      </c>
      <c r="D90">
        <v>3</v>
      </c>
      <c r="E90" t="s">
        <v>312</v>
      </c>
      <c r="F90" t="s">
        <v>637</v>
      </c>
      <c r="G90" t="s">
        <v>821</v>
      </c>
      <c r="H90" t="s">
        <v>20</v>
      </c>
      <c r="I90" t="s">
        <v>639</v>
      </c>
      <c r="J90" t="s">
        <v>674</v>
      </c>
      <c r="K90" t="s">
        <v>847</v>
      </c>
      <c r="L90" t="s">
        <v>642</v>
      </c>
      <c r="M90">
        <v>65939</v>
      </c>
      <c r="N90">
        <v>10550.24</v>
      </c>
      <c r="O90">
        <v>0</v>
      </c>
      <c r="P90">
        <v>76489.239999999991</v>
      </c>
      <c r="Q90" t="s">
        <v>643</v>
      </c>
      <c r="R90" t="s">
        <v>644</v>
      </c>
      <c r="S90" t="s">
        <v>682</v>
      </c>
      <c r="T90" t="s">
        <v>29</v>
      </c>
      <c r="U90" t="s">
        <v>646</v>
      </c>
      <c r="V90" t="s">
        <v>27</v>
      </c>
      <c r="W90" t="s">
        <v>49</v>
      </c>
      <c r="Y90" t="s">
        <v>653</v>
      </c>
    </row>
    <row r="91" spans="1:25" x14ac:dyDescent="0.25">
      <c r="A91">
        <v>90</v>
      </c>
      <c r="B91" t="s">
        <v>201</v>
      </c>
      <c r="C91">
        <v>2026</v>
      </c>
      <c r="D91">
        <v>3</v>
      </c>
      <c r="E91" t="s">
        <v>312</v>
      </c>
      <c r="F91" t="s">
        <v>665</v>
      </c>
      <c r="G91" t="s">
        <v>848</v>
      </c>
      <c r="H91" t="s">
        <v>649</v>
      </c>
      <c r="I91" t="s">
        <v>656</v>
      </c>
      <c r="J91" t="s">
        <v>719</v>
      </c>
      <c r="K91" t="s">
        <v>849</v>
      </c>
      <c r="L91" t="s">
        <v>642</v>
      </c>
      <c r="M91">
        <v>66906</v>
      </c>
      <c r="N91">
        <v>10704.96</v>
      </c>
      <c r="O91">
        <v>0</v>
      </c>
      <c r="P91">
        <v>77610.959999999992</v>
      </c>
      <c r="Q91" t="s">
        <v>643</v>
      </c>
      <c r="R91" t="s">
        <v>644</v>
      </c>
      <c r="S91" t="s">
        <v>682</v>
      </c>
      <c r="T91" t="s">
        <v>50</v>
      </c>
      <c r="U91" t="s">
        <v>646</v>
      </c>
      <c r="V91" t="s">
        <v>27</v>
      </c>
      <c r="W91" t="s">
        <v>66</v>
      </c>
      <c r="Y91" t="s">
        <v>653</v>
      </c>
    </row>
    <row r="92" spans="1:25" x14ac:dyDescent="0.25">
      <c r="A92">
        <v>91</v>
      </c>
      <c r="B92" t="s">
        <v>203</v>
      </c>
      <c r="C92">
        <v>2026</v>
      </c>
      <c r="D92">
        <v>4</v>
      </c>
      <c r="E92" t="s">
        <v>303</v>
      </c>
      <c r="F92" t="s">
        <v>637</v>
      </c>
      <c r="G92" t="s">
        <v>850</v>
      </c>
      <c r="H92" t="s">
        <v>649</v>
      </c>
      <c r="I92" t="s">
        <v>639</v>
      </c>
      <c r="J92" t="s">
        <v>680</v>
      </c>
      <c r="K92" t="s">
        <v>851</v>
      </c>
      <c r="L92" t="s">
        <v>642</v>
      </c>
      <c r="M92">
        <v>27370</v>
      </c>
      <c r="N92">
        <v>4379.2</v>
      </c>
      <c r="O92">
        <v>0</v>
      </c>
      <c r="P92">
        <v>31749.200000000001</v>
      </c>
      <c r="Q92" t="s">
        <v>643</v>
      </c>
      <c r="R92" t="s">
        <v>644</v>
      </c>
      <c r="S92" t="s">
        <v>682</v>
      </c>
      <c r="T92" t="s">
        <v>75</v>
      </c>
      <c r="U92" t="s">
        <v>646</v>
      </c>
      <c r="V92" t="s">
        <v>40</v>
      </c>
      <c r="W92" t="s">
        <v>27</v>
      </c>
      <c r="Y92" t="s">
        <v>653</v>
      </c>
    </row>
    <row r="93" spans="1:25" x14ac:dyDescent="0.25">
      <c r="A93">
        <v>92</v>
      </c>
      <c r="B93" t="s">
        <v>205</v>
      </c>
      <c r="C93">
        <v>2026</v>
      </c>
      <c r="D93">
        <v>4</v>
      </c>
      <c r="E93" t="s">
        <v>303</v>
      </c>
      <c r="F93" t="s">
        <v>665</v>
      </c>
      <c r="G93" t="s">
        <v>852</v>
      </c>
      <c r="H93" t="s">
        <v>20</v>
      </c>
      <c r="I93" t="s">
        <v>639</v>
      </c>
      <c r="J93" t="s">
        <v>726</v>
      </c>
      <c r="K93" t="s">
        <v>853</v>
      </c>
      <c r="L93" t="s">
        <v>642</v>
      </c>
      <c r="M93">
        <v>111255</v>
      </c>
      <c r="N93">
        <v>17800.8</v>
      </c>
      <c r="O93">
        <v>0</v>
      </c>
      <c r="P93">
        <v>129055.8</v>
      </c>
      <c r="Q93" t="s">
        <v>643</v>
      </c>
      <c r="R93" t="s">
        <v>644</v>
      </c>
      <c r="S93" t="s">
        <v>652</v>
      </c>
      <c r="T93" t="s">
        <v>29</v>
      </c>
      <c r="U93" t="s">
        <v>646</v>
      </c>
      <c r="V93" t="s">
        <v>49</v>
      </c>
      <c r="W93" t="s">
        <v>66</v>
      </c>
      <c r="Y93" t="s">
        <v>647</v>
      </c>
    </row>
    <row r="94" spans="1:25" x14ac:dyDescent="0.25">
      <c r="A94">
        <v>93</v>
      </c>
      <c r="B94" t="s">
        <v>206</v>
      </c>
      <c r="C94">
        <v>2026</v>
      </c>
      <c r="D94">
        <v>4</v>
      </c>
      <c r="E94" t="s">
        <v>347</v>
      </c>
      <c r="F94" t="s">
        <v>665</v>
      </c>
      <c r="G94" t="s">
        <v>777</v>
      </c>
      <c r="H94" t="s">
        <v>649</v>
      </c>
      <c r="I94" t="s">
        <v>650</v>
      </c>
      <c r="J94" t="s">
        <v>674</v>
      </c>
      <c r="K94" t="s">
        <v>854</v>
      </c>
      <c r="L94" t="s">
        <v>642</v>
      </c>
      <c r="M94">
        <v>83386</v>
      </c>
      <c r="N94">
        <v>13341.76</v>
      </c>
      <c r="O94">
        <v>0</v>
      </c>
      <c r="P94">
        <v>96727.76</v>
      </c>
      <c r="Q94" t="s">
        <v>643</v>
      </c>
      <c r="R94" t="s">
        <v>644</v>
      </c>
      <c r="S94" t="s">
        <v>704</v>
      </c>
      <c r="T94" t="s">
        <v>50</v>
      </c>
      <c r="U94" t="s">
        <v>646</v>
      </c>
      <c r="V94" t="s">
        <v>49</v>
      </c>
      <c r="W94" t="s">
        <v>49</v>
      </c>
      <c r="Y94" t="s">
        <v>647</v>
      </c>
    </row>
    <row r="95" spans="1:25" x14ac:dyDescent="0.25">
      <c r="A95">
        <v>94</v>
      </c>
      <c r="B95" t="s">
        <v>208</v>
      </c>
      <c r="C95">
        <v>2026</v>
      </c>
      <c r="D95">
        <v>4</v>
      </c>
      <c r="E95" t="s">
        <v>332</v>
      </c>
      <c r="F95" t="s">
        <v>637</v>
      </c>
      <c r="G95" t="s">
        <v>855</v>
      </c>
      <c r="H95" t="s">
        <v>649</v>
      </c>
      <c r="I95" t="s">
        <v>650</v>
      </c>
      <c r="J95" t="s">
        <v>680</v>
      </c>
      <c r="K95" t="s">
        <v>856</v>
      </c>
      <c r="L95" t="s">
        <v>642</v>
      </c>
      <c r="M95">
        <v>23600</v>
      </c>
      <c r="N95">
        <v>3776</v>
      </c>
      <c r="O95">
        <v>0</v>
      </c>
      <c r="P95">
        <v>27376</v>
      </c>
      <c r="Q95" t="s">
        <v>643</v>
      </c>
      <c r="R95" t="s">
        <v>644</v>
      </c>
      <c r="S95" t="s">
        <v>664</v>
      </c>
      <c r="T95" t="s">
        <v>42</v>
      </c>
      <c r="U95" t="s">
        <v>646</v>
      </c>
      <c r="V95" t="s">
        <v>49</v>
      </c>
      <c r="W95" t="s">
        <v>27</v>
      </c>
      <c r="Y95" t="s">
        <v>647</v>
      </c>
    </row>
    <row r="96" spans="1:25" x14ac:dyDescent="0.25">
      <c r="A96">
        <v>95</v>
      </c>
      <c r="B96" t="s">
        <v>209</v>
      </c>
      <c r="C96">
        <v>2026</v>
      </c>
      <c r="D96">
        <v>4</v>
      </c>
      <c r="E96" t="s">
        <v>332</v>
      </c>
      <c r="F96" t="s">
        <v>654</v>
      </c>
      <c r="G96" t="s">
        <v>857</v>
      </c>
      <c r="H96" t="s">
        <v>20</v>
      </c>
      <c r="I96" t="s">
        <v>650</v>
      </c>
      <c r="J96" t="s">
        <v>687</v>
      </c>
      <c r="K96" t="s">
        <v>858</v>
      </c>
      <c r="L96" t="s">
        <v>642</v>
      </c>
      <c r="M96">
        <v>119480</v>
      </c>
      <c r="N96">
        <v>19116.8</v>
      </c>
      <c r="O96">
        <v>0</v>
      </c>
      <c r="P96">
        <v>138596.79999999999</v>
      </c>
      <c r="Q96" t="s">
        <v>643</v>
      </c>
      <c r="R96" t="s">
        <v>644</v>
      </c>
      <c r="S96" t="s">
        <v>682</v>
      </c>
      <c r="T96" t="s">
        <v>75</v>
      </c>
      <c r="U96" t="s">
        <v>646</v>
      </c>
      <c r="V96" t="s">
        <v>27</v>
      </c>
      <c r="W96" t="s">
        <v>49</v>
      </c>
      <c r="Y96" t="s">
        <v>647</v>
      </c>
    </row>
    <row r="97" spans="1:25" x14ac:dyDescent="0.25">
      <c r="A97">
        <v>96</v>
      </c>
      <c r="B97" t="s">
        <v>211</v>
      </c>
      <c r="C97">
        <v>2026</v>
      </c>
      <c r="D97">
        <v>4</v>
      </c>
      <c r="E97" t="s">
        <v>332</v>
      </c>
      <c r="F97" t="s">
        <v>669</v>
      </c>
      <c r="G97" t="s">
        <v>859</v>
      </c>
      <c r="H97" t="s">
        <v>20</v>
      </c>
      <c r="I97" t="s">
        <v>639</v>
      </c>
      <c r="J97" t="s">
        <v>680</v>
      </c>
      <c r="K97" t="s">
        <v>860</v>
      </c>
      <c r="L97" t="s">
        <v>642</v>
      </c>
      <c r="M97">
        <v>134615</v>
      </c>
      <c r="N97">
        <v>21538.400000000001</v>
      </c>
      <c r="O97">
        <v>0</v>
      </c>
      <c r="P97">
        <v>156153.4</v>
      </c>
      <c r="Q97" t="s">
        <v>643</v>
      </c>
      <c r="R97" t="s">
        <v>644</v>
      </c>
      <c r="S97" t="s">
        <v>664</v>
      </c>
      <c r="T97" t="s">
        <v>75</v>
      </c>
      <c r="U97" t="s">
        <v>646</v>
      </c>
      <c r="V97" t="s">
        <v>27</v>
      </c>
      <c r="W97" t="s">
        <v>49</v>
      </c>
      <c r="Y97" t="s">
        <v>653</v>
      </c>
    </row>
    <row r="98" spans="1:25" x14ac:dyDescent="0.25">
      <c r="A98">
        <v>97</v>
      </c>
      <c r="B98" t="s">
        <v>212</v>
      </c>
      <c r="C98">
        <v>2026</v>
      </c>
      <c r="D98">
        <v>4</v>
      </c>
      <c r="E98" t="s">
        <v>303</v>
      </c>
      <c r="F98" t="s">
        <v>654</v>
      </c>
      <c r="G98" t="s">
        <v>861</v>
      </c>
      <c r="H98" t="s">
        <v>20</v>
      </c>
      <c r="I98" t="s">
        <v>639</v>
      </c>
      <c r="J98" t="s">
        <v>674</v>
      </c>
      <c r="K98" t="s">
        <v>862</v>
      </c>
      <c r="L98" t="s">
        <v>642</v>
      </c>
      <c r="M98">
        <v>29063</v>
      </c>
      <c r="N98">
        <v>4650.08</v>
      </c>
      <c r="O98">
        <v>0</v>
      </c>
      <c r="P98">
        <v>33713.079999999987</v>
      </c>
      <c r="Q98" t="s">
        <v>643</v>
      </c>
      <c r="R98" t="s">
        <v>644</v>
      </c>
      <c r="S98" t="s">
        <v>704</v>
      </c>
      <c r="T98" t="s">
        <v>75</v>
      </c>
      <c r="U98" t="s">
        <v>646</v>
      </c>
      <c r="V98" t="s">
        <v>49</v>
      </c>
      <c r="W98" t="s">
        <v>27</v>
      </c>
      <c r="Y98" t="s">
        <v>653</v>
      </c>
    </row>
    <row r="99" spans="1:25" x14ac:dyDescent="0.25">
      <c r="A99">
        <v>98</v>
      </c>
      <c r="B99" t="s">
        <v>214</v>
      </c>
      <c r="C99">
        <v>2026</v>
      </c>
      <c r="D99">
        <v>4</v>
      </c>
      <c r="E99" t="s">
        <v>332</v>
      </c>
      <c r="F99" t="s">
        <v>637</v>
      </c>
      <c r="G99" t="s">
        <v>863</v>
      </c>
      <c r="H99" t="s">
        <v>20</v>
      </c>
      <c r="I99" t="s">
        <v>639</v>
      </c>
      <c r="J99" t="s">
        <v>640</v>
      </c>
      <c r="K99" t="s">
        <v>864</v>
      </c>
      <c r="L99" t="s">
        <v>642</v>
      </c>
      <c r="M99">
        <v>147065</v>
      </c>
      <c r="N99">
        <v>23530.400000000001</v>
      </c>
      <c r="O99">
        <v>0</v>
      </c>
      <c r="P99">
        <v>170595.4</v>
      </c>
      <c r="Q99" t="s">
        <v>643</v>
      </c>
      <c r="R99" t="s">
        <v>644</v>
      </c>
      <c r="S99" t="s">
        <v>682</v>
      </c>
      <c r="T99" t="s">
        <v>50</v>
      </c>
      <c r="U99" t="s">
        <v>646</v>
      </c>
      <c r="V99" t="s">
        <v>49</v>
      </c>
      <c r="W99" t="s">
        <v>27</v>
      </c>
      <c r="Y99" t="s">
        <v>647</v>
      </c>
    </row>
    <row r="100" spans="1:25" x14ac:dyDescent="0.25">
      <c r="A100">
        <v>99</v>
      </c>
      <c r="B100" t="s">
        <v>215</v>
      </c>
      <c r="C100">
        <v>2026</v>
      </c>
      <c r="D100">
        <v>4</v>
      </c>
      <c r="E100" t="s">
        <v>347</v>
      </c>
      <c r="F100" t="s">
        <v>654</v>
      </c>
      <c r="G100" t="s">
        <v>865</v>
      </c>
      <c r="H100" t="s">
        <v>20</v>
      </c>
      <c r="I100" t="s">
        <v>639</v>
      </c>
      <c r="J100" t="s">
        <v>640</v>
      </c>
      <c r="K100" t="s">
        <v>866</v>
      </c>
      <c r="L100" t="s">
        <v>642</v>
      </c>
      <c r="M100">
        <v>39277</v>
      </c>
      <c r="N100">
        <v>6284.32</v>
      </c>
      <c r="O100">
        <v>0</v>
      </c>
      <c r="P100">
        <v>45561.32</v>
      </c>
      <c r="Q100" t="s">
        <v>643</v>
      </c>
      <c r="R100" t="s">
        <v>644</v>
      </c>
      <c r="S100" t="s">
        <v>682</v>
      </c>
      <c r="T100" t="s">
        <v>50</v>
      </c>
      <c r="U100" t="s">
        <v>646</v>
      </c>
      <c r="V100" t="s">
        <v>27</v>
      </c>
      <c r="W100" t="s">
        <v>27</v>
      </c>
      <c r="Y100" t="s">
        <v>653</v>
      </c>
    </row>
    <row r="101" spans="1:25" x14ac:dyDescent="0.25">
      <c r="A101">
        <v>100</v>
      </c>
      <c r="B101" t="s">
        <v>217</v>
      </c>
      <c r="C101">
        <v>2026</v>
      </c>
      <c r="D101">
        <v>4</v>
      </c>
      <c r="E101" t="s">
        <v>326</v>
      </c>
      <c r="F101" t="s">
        <v>669</v>
      </c>
      <c r="G101" t="s">
        <v>867</v>
      </c>
      <c r="H101" t="s">
        <v>20</v>
      </c>
      <c r="I101" t="s">
        <v>656</v>
      </c>
      <c r="J101" t="s">
        <v>41</v>
      </c>
      <c r="K101" t="s">
        <v>868</v>
      </c>
      <c r="L101" t="s">
        <v>642</v>
      </c>
      <c r="M101">
        <v>49691</v>
      </c>
      <c r="N101">
        <v>7950.56</v>
      </c>
      <c r="O101">
        <v>0</v>
      </c>
      <c r="P101">
        <v>57641.56</v>
      </c>
      <c r="Q101" t="s">
        <v>643</v>
      </c>
      <c r="R101" t="s">
        <v>644</v>
      </c>
      <c r="S101" t="s">
        <v>652</v>
      </c>
      <c r="T101" t="s">
        <v>42</v>
      </c>
      <c r="U101" t="s">
        <v>646</v>
      </c>
      <c r="V101" t="s">
        <v>40</v>
      </c>
      <c r="W101" t="s">
        <v>27</v>
      </c>
      <c r="Y101" t="s">
        <v>647</v>
      </c>
    </row>
    <row r="102" spans="1:25" x14ac:dyDescent="0.25">
      <c r="A102">
        <v>101</v>
      </c>
      <c r="B102" t="s">
        <v>218</v>
      </c>
      <c r="C102">
        <v>2026</v>
      </c>
      <c r="D102">
        <v>4</v>
      </c>
      <c r="E102" t="s">
        <v>347</v>
      </c>
      <c r="F102" t="s">
        <v>654</v>
      </c>
      <c r="G102" t="s">
        <v>869</v>
      </c>
      <c r="H102" t="s">
        <v>20</v>
      </c>
      <c r="I102" t="s">
        <v>650</v>
      </c>
      <c r="J102" t="s">
        <v>739</v>
      </c>
      <c r="K102" t="s">
        <v>870</v>
      </c>
      <c r="L102" t="s">
        <v>642</v>
      </c>
      <c r="M102">
        <v>27128</v>
      </c>
      <c r="N102">
        <v>4340.4799999999996</v>
      </c>
      <c r="O102">
        <v>0</v>
      </c>
      <c r="P102">
        <v>31468.48</v>
      </c>
      <c r="Q102" t="s">
        <v>643</v>
      </c>
      <c r="R102" t="s">
        <v>644</v>
      </c>
      <c r="S102" t="s">
        <v>682</v>
      </c>
      <c r="T102" t="s">
        <v>50</v>
      </c>
      <c r="U102" t="s">
        <v>646</v>
      </c>
      <c r="V102" t="s">
        <v>27</v>
      </c>
      <c r="W102" t="s">
        <v>27</v>
      </c>
      <c r="Y102" t="s">
        <v>653</v>
      </c>
    </row>
    <row r="103" spans="1:25" x14ac:dyDescent="0.25">
      <c r="A103">
        <v>102</v>
      </c>
      <c r="B103" t="s">
        <v>219</v>
      </c>
      <c r="C103">
        <v>2026</v>
      </c>
      <c r="D103">
        <v>4</v>
      </c>
      <c r="E103" t="s">
        <v>332</v>
      </c>
      <c r="F103" t="s">
        <v>669</v>
      </c>
      <c r="G103" t="s">
        <v>871</v>
      </c>
      <c r="H103" t="s">
        <v>649</v>
      </c>
      <c r="I103" t="s">
        <v>656</v>
      </c>
      <c r="J103" t="s">
        <v>687</v>
      </c>
      <c r="K103" t="s">
        <v>872</v>
      </c>
      <c r="L103" t="s">
        <v>642</v>
      </c>
      <c r="M103">
        <v>87104</v>
      </c>
      <c r="N103">
        <v>13936.64</v>
      </c>
      <c r="O103">
        <v>0</v>
      </c>
      <c r="P103">
        <v>101040.64</v>
      </c>
      <c r="Q103" t="s">
        <v>643</v>
      </c>
      <c r="R103" t="s">
        <v>644</v>
      </c>
      <c r="S103" t="s">
        <v>652</v>
      </c>
      <c r="T103" t="s">
        <v>42</v>
      </c>
      <c r="U103" t="s">
        <v>646</v>
      </c>
      <c r="V103" t="s">
        <v>27</v>
      </c>
      <c r="W103" t="s">
        <v>27</v>
      </c>
      <c r="Y103" t="s">
        <v>653</v>
      </c>
    </row>
    <row r="104" spans="1:25" x14ac:dyDescent="0.25">
      <c r="A104">
        <v>103</v>
      </c>
      <c r="B104" t="s">
        <v>220</v>
      </c>
      <c r="C104">
        <v>2026</v>
      </c>
      <c r="D104">
        <v>4</v>
      </c>
      <c r="E104" t="s">
        <v>347</v>
      </c>
      <c r="F104" t="s">
        <v>654</v>
      </c>
      <c r="G104" t="s">
        <v>873</v>
      </c>
      <c r="H104" t="s">
        <v>20</v>
      </c>
      <c r="I104" t="s">
        <v>656</v>
      </c>
      <c r="J104" t="s">
        <v>699</v>
      </c>
      <c r="K104" t="s">
        <v>874</v>
      </c>
      <c r="L104" t="s">
        <v>642</v>
      </c>
      <c r="M104">
        <v>65619</v>
      </c>
      <c r="N104">
        <v>10499.04</v>
      </c>
      <c r="O104">
        <v>0</v>
      </c>
      <c r="P104">
        <v>76118.039999999994</v>
      </c>
      <c r="Q104" t="s">
        <v>643</v>
      </c>
      <c r="R104" t="s">
        <v>644</v>
      </c>
      <c r="S104" t="s">
        <v>682</v>
      </c>
      <c r="T104" t="s">
        <v>75</v>
      </c>
      <c r="U104" t="s">
        <v>646</v>
      </c>
      <c r="V104" t="s">
        <v>49</v>
      </c>
      <c r="W104" t="s">
        <v>66</v>
      </c>
      <c r="Y104" t="s">
        <v>653</v>
      </c>
    </row>
    <row r="105" spans="1:25" x14ac:dyDescent="0.25">
      <c r="A105">
        <v>104</v>
      </c>
      <c r="B105" t="s">
        <v>222</v>
      </c>
      <c r="C105">
        <v>2026</v>
      </c>
      <c r="D105">
        <v>4</v>
      </c>
      <c r="E105" t="s">
        <v>312</v>
      </c>
      <c r="F105" t="s">
        <v>695</v>
      </c>
      <c r="G105" t="s">
        <v>875</v>
      </c>
      <c r="H105" t="s">
        <v>649</v>
      </c>
      <c r="I105" t="s">
        <v>650</v>
      </c>
      <c r="J105" t="s">
        <v>714</v>
      </c>
      <c r="K105" t="s">
        <v>876</v>
      </c>
      <c r="L105" t="s">
        <v>642</v>
      </c>
      <c r="M105">
        <v>52295</v>
      </c>
      <c r="N105">
        <v>8367.2000000000007</v>
      </c>
      <c r="O105">
        <v>0</v>
      </c>
      <c r="P105">
        <v>60662.2</v>
      </c>
      <c r="Q105" t="s">
        <v>643</v>
      </c>
      <c r="R105" t="s">
        <v>644</v>
      </c>
      <c r="S105" t="s">
        <v>652</v>
      </c>
      <c r="T105" t="s">
        <v>42</v>
      </c>
      <c r="U105" t="s">
        <v>646</v>
      </c>
      <c r="V105" t="s">
        <v>49</v>
      </c>
      <c r="W105" t="s">
        <v>66</v>
      </c>
      <c r="Y105" t="s">
        <v>653</v>
      </c>
    </row>
    <row r="106" spans="1:25" x14ac:dyDescent="0.25">
      <c r="A106">
        <v>105</v>
      </c>
      <c r="B106" t="s">
        <v>223</v>
      </c>
      <c r="C106">
        <v>2026</v>
      </c>
      <c r="D106">
        <v>4</v>
      </c>
      <c r="E106" t="s">
        <v>326</v>
      </c>
      <c r="F106" t="s">
        <v>654</v>
      </c>
      <c r="G106" t="s">
        <v>877</v>
      </c>
      <c r="H106" t="s">
        <v>649</v>
      </c>
      <c r="I106" t="s">
        <v>656</v>
      </c>
      <c r="J106" t="s">
        <v>671</v>
      </c>
      <c r="K106" t="s">
        <v>878</v>
      </c>
      <c r="L106" t="s">
        <v>642</v>
      </c>
      <c r="M106">
        <v>63082</v>
      </c>
      <c r="N106">
        <v>10093.120000000001</v>
      </c>
      <c r="O106">
        <v>0</v>
      </c>
      <c r="P106">
        <v>73175.12</v>
      </c>
      <c r="Q106" t="s">
        <v>643</v>
      </c>
      <c r="R106" t="s">
        <v>644</v>
      </c>
      <c r="S106" t="s">
        <v>682</v>
      </c>
      <c r="T106" t="s">
        <v>42</v>
      </c>
      <c r="U106" t="s">
        <v>646</v>
      </c>
      <c r="V106" t="s">
        <v>49</v>
      </c>
      <c r="W106" t="s">
        <v>27</v>
      </c>
      <c r="Y106" t="s">
        <v>653</v>
      </c>
    </row>
    <row r="107" spans="1:25" x14ac:dyDescent="0.25">
      <c r="A107">
        <v>106</v>
      </c>
      <c r="B107" t="s">
        <v>225</v>
      </c>
      <c r="C107">
        <v>2026</v>
      </c>
      <c r="D107">
        <v>4</v>
      </c>
      <c r="E107" t="s">
        <v>326</v>
      </c>
      <c r="F107" t="s">
        <v>654</v>
      </c>
      <c r="G107" t="s">
        <v>879</v>
      </c>
      <c r="H107" t="s">
        <v>20</v>
      </c>
      <c r="I107" t="s">
        <v>656</v>
      </c>
      <c r="J107" t="s">
        <v>671</v>
      </c>
      <c r="K107" t="s">
        <v>880</v>
      </c>
      <c r="L107" t="s">
        <v>642</v>
      </c>
      <c r="M107">
        <v>132974</v>
      </c>
      <c r="N107">
        <v>21275.84</v>
      </c>
      <c r="O107">
        <v>0</v>
      </c>
      <c r="P107">
        <v>154249.84</v>
      </c>
      <c r="Q107" t="s">
        <v>643</v>
      </c>
      <c r="R107" t="s">
        <v>644</v>
      </c>
      <c r="S107" t="s">
        <v>704</v>
      </c>
      <c r="T107" t="s">
        <v>42</v>
      </c>
      <c r="U107" t="s">
        <v>646</v>
      </c>
      <c r="V107" t="s">
        <v>49</v>
      </c>
      <c r="W107" t="s">
        <v>66</v>
      </c>
      <c r="Y107" t="s">
        <v>653</v>
      </c>
    </row>
    <row r="108" spans="1:25" x14ac:dyDescent="0.25">
      <c r="A108">
        <v>107</v>
      </c>
      <c r="B108" t="s">
        <v>226</v>
      </c>
      <c r="C108">
        <v>2026</v>
      </c>
      <c r="D108">
        <v>4</v>
      </c>
      <c r="E108" t="s">
        <v>303</v>
      </c>
      <c r="F108" t="s">
        <v>669</v>
      </c>
      <c r="G108" t="s">
        <v>881</v>
      </c>
      <c r="H108" t="s">
        <v>649</v>
      </c>
      <c r="I108" t="s">
        <v>650</v>
      </c>
      <c r="J108" t="s">
        <v>677</v>
      </c>
      <c r="K108" t="s">
        <v>882</v>
      </c>
      <c r="L108" t="s">
        <v>642</v>
      </c>
      <c r="M108">
        <v>40098</v>
      </c>
      <c r="N108">
        <v>6415.68</v>
      </c>
      <c r="O108">
        <v>0</v>
      </c>
      <c r="P108">
        <v>46513.68</v>
      </c>
      <c r="Q108" t="s">
        <v>643</v>
      </c>
      <c r="R108" t="s">
        <v>644</v>
      </c>
      <c r="S108" t="s">
        <v>645</v>
      </c>
      <c r="T108" t="s">
        <v>29</v>
      </c>
      <c r="U108" t="s">
        <v>646</v>
      </c>
      <c r="V108" t="s">
        <v>40</v>
      </c>
      <c r="W108" t="s">
        <v>27</v>
      </c>
      <c r="Y108" t="s">
        <v>647</v>
      </c>
    </row>
    <row r="109" spans="1:25" x14ac:dyDescent="0.25">
      <c r="A109">
        <v>108</v>
      </c>
      <c r="B109" t="s">
        <v>228</v>
      </c>
      <c r="C109">
        <v>2026</v>
      </c>
      <c r="D109">
        <v>4</v>
      </c>
      <c r="E109" t="s">
        <v>303</v>
      </c>
      <c r="F109" t="s">
        <v>637</v>
      </c>
      <c r="G109" t="s">
        <v>883</v>
      </c>
      <c r="H109" t="s">
        <v>649</v>
      </c>
      <c r="I109" t="s">
        <v>639</v>
      </c>
      <c r="J109" t="s">
        <v>662</v>
      </c>
      <c r="K109" t="s">
        <v>884</v>
      </c>
      <c r="L109" t="s">
        <v>642</v>
      </c>
      <c r="M109">
        <v>122232</v>
      </c>
      <c r="N109">
        <v>19557.12</v>
      </c>
      <c r="O109">
        <v>0</v>
      </c>
      <c r="P109">
        <v>141789.12</v>
      </c>
      <c r="Q109" t="s">
        <v>643</v>
      </c>
      <c r="R109" t="s">
        <v>644</v>
      </c>
      <c r="S109" t="s">
        <v>704</v>
      </c>
      <c r="T109" t="s">
        <v>75</v>
      </c>
      <c r="U109" t="s">
        <v>646</v>
      </c>
      <c r="V109" t="s">
        <v>27</v>
      </c>
      <c r="W109" t="s">
        <v>66</v>
      </c>
      <c r="Y109" t="s">
        <v>647</v>
      </c>
    </row>
    <row r="110" spans="1:25" x14ac:dyDescent="0.25">
      <c r="A110">
        <v>109</v>
      </c>
      <c r="B110" t="s">
        <v>229</v>
      </c>
      <c r="C110">
        <v>2026</v>
      </c>
      <c r="D110">
        <v>4</v>
      </c>
      <c r="E110" t="s">
        <v>303</v>
      </c>
      <c r="F110" t="s">
        <v>654</v>
      </c>
      <c r="G110" t="s">
        <v>885</v>
      </c>
      <c r="H110" t="s">
        <v>20</v>
      </c>
      <c r="I110" t="s">
        <v>639</v>
      </c>
      <c r="J110" t="s">
        <v>775</v>
      </c>
      <c r="K110" t="s">
        <v>886</v>
      </c>
      <c r="L110" t="s">
        <v>642</v>
      </c>
      <c r="M110">
        <v>53452</v>
      </c>
      <c r="N110">
        <v>8552.32</v>
      </c>
      <c r="O110">
        <v>0</v>
      </c>
      <c r="P110">
        <v>62004.319999999992</v>
      </c>
      <c r="Q110" t="s">
        <v>643</v>
      </c>
      <c r="R110" t="s">
        <v>644</v>
      </c>
      <c r="S110" t="s">
        <v>704</v>
      </c>
      <c r="T110" t="s">
        <v>50</v>
      </c>
      <c r="U110" t="s">
        <v>646</v>
      </c>
      <c r="V110" t="s">
        <v>40</v>
      </c>
      <c r="W110" t="s">
        <v>27</v>
      </c>
      <c r="Y110" t="s">
        <v>647</v>
      </c>
    </row>
    <row r="111" spans="1:25" x14ac:dyDescent="0.25">
      <c r="A111">
        <v>110</v>
      </c>
      <c r="B111" t="s">
        <v>230</v>
      </c>
      <c r="C111">
        <v>2026</v>
      </c>
      <c r="D111">
        <v>4</v>
      </c>
      <c r="E111" t="s">
        <v>312</v>
      </c>
      <c r="F111" t="s">
        <v>695</v>
      </c>
      <c r="G111" t="s">
        <v>887</v>
      </c>
      <c r="H111" t="s">
        <v>649</v>
      </c>
      <c r="I111" t="s">
        <v>656</v>
      </c>
      <c r="J111" t="s">
        <v>726</v>
      </c>
      <c r="K111" t="s">
        <v>888</v>
      </c>
      <c r="L111" t="s">
        <v>642</v>
      </c>
      <c r="M111">
        <v>47850</v>
      </c>
      <c r="N111">
        <v>7656</v>
      </c>
      <c r="O111">
        <v>0</v>
      </c>
      <c r="P111">
        <v>55505.999999999993</v>
      </c>
      <c r="Q111" t="s">
        <v>643</v>
      </c>
      <c r="R111" t="s">
        <v>644</v>
      </c>
      <c r="S111" t="s">
        <v>682</v>
      </c>
      <c r="T111" t="s">
        <v>29</v>
      </c>
      <c r="U111" t="s">
        <v>646</v>
      </c>
      <c r="V111" t="s">
        <v>40</v>
      </c>
      <c r="W111" t="s">
        <v>49</v>
      </c>
      <c r="Y111" t="s">
        <v>653</v>
      </c>
    </row>
    <row r="112" spans="1:25" x14ac:dyDescent="0.25">
      <c r="A112">
        <v>111</v>
      </c>
      <c r="B112" t="s">
        <v>231</v>
      </c>
      <c r="C112">
        <v>2026</v>
      </c>
      <c r="D112">
        <v>4</v>
      </c>
      <c r="E112" t="s">
        <v>347</v>
      </c>
      <c r="F112" t="s">
        <v>665</v>
      </c>
      <c r="G112" t="s">
        <v>676</v>
      </c>
      <c r="H112" t="s">
        <v>20</v>
      </c>
      <c r="I112" t="s">
        <v>650</v>
      </c>
      <c r="J112" t="s">
        <v>662</v>
      </c>
      <c r="K112" t="s">
        <v>889</v>
      </c>
      <c r="L112" t="s">
        <v>642</v>
      </c>
      <c r="M112">
        <v>58049</v>
      </c>
      <c r="N112">
        <v>9287.84</v>
      </c>
      <c r="O112">
        <v>0</v>
      </c>
      <c r="P112">
        <v>67336.84</v>
      </c>
      <c r="Q112" t="s">
        <v>643</v>
      </c>
      <c r="R112" t="s">
        <v>644</v>
      </c>
      <c r="S112" t="s">
        <v>704</v>
      </c>
      <c r="T112" t="s">
        <v>29</v>
      </c>
      <c r="U112" t="s">
        <v>646</v>
      </c>
      <c r="V112" t="s">
        <v>40</v>
      </c>
      <c r="W112" t="s">
        <v>49</v>
      </c>
      <c r="Y112" t="s">
        <v>647</v>
      </c>
    </row>
    <row r="113" spans="1:25" x14ac:dyDescent="0.25">
      <c r="A113">
        <v>112</v>
      </c>
      <c r="B113" t="s">
        <v>233</v>
      </c>
      <c r="C113">
        <v>2026</v>
      </c>
      <c r="D113">
        <v>4</v>
      </c>
      <c r="E113" t="s">
        <v>303</v>
      </c>
      <c r="F113" t="s">
        <v>669</v>
      </c>
      <c r="G113" t="s">
        <v>890</v>
      </c>
      <c r="H113" t="s">
        <v>20</v>
      </c>
      <c r="I113" t="s">
        <v>650</v>
      </c>
      <c r="J113" t="s">
        <v>739</v>
      </c>
      <c r="K113" t="s">
        <v>891</v>
      </c>
      <c r="L113" t="s">
        <v>642</v>
      </c>
      <c r="M113">
        <v>60949</v>
      </c>
      <c r="N113">
        <v>9751.84</v>
      </c>
      <c r="O113">
        <v>0</v>
      </c>
      <c r="P113">
        <v>70700.84</v>
      </c>
      <c r="Q113" t="s">
        <v>643</v>
      </c>
      <c r="R113" t="s">
        <v>644</v>
      </c>
      <c r="S113" t="s">
        <v>652</v>
      </c>
      <c r="T113" t="s">
        <v>29</v>
      </c>
      <c r="U113" t="s">
        <v>646</v>
      </c>
      <c r="V113" t="s">
        <v>40</v>
      </c>
      <c r="W113" t="s">
        <v>49</v>
      </c>
      <c r="Y113" t="s">
        <v>653</v>
      </c>
    </row>
    <row r="114" spans="1:25" x14ac:dyDescent="0.25">
      <c r="A114">
        <v>113</v>
      </c>
      <c r="B114" t="s">
        <v>234</v>
      </c>
      <c r="C114">
        <v>2026</v>
      </c>
      <c r="D114">
        <v>4</v>
      </c>
      <c r="E114" t="s">
        <v>347</v>
      </c>
      <c r="F114" t="s">
        <v>654</v>
      </c>
      <c r="G114" t="s">
        <v>892</v>
      </c>
      <c r="H114" t="s">
        <v>20</v>
      </c>
      <c r="I114" t="s">
        <v>650</v>
      </c>
      <c r="J114" t="s">
        <v>680</v>
      </c>
      <c r="K114" t="s">
        <v>893</v>
      </c>
      <c r="L114" t="s">
        <v>642</v>
      </c>
      <c r="M114">
        <v>57631</v>
      </c>
      <c r="N114">
        <v>9220.9600000000009</v>
      </c>
      <c r="O114">
        <v>0</v>
      </c>
      <c r="P114">
        <v>66851.959999999992</v>
      </c>
      <c r="Q114" t="s">
        <v>643</v>
      </c>
      <c r="R114" t="s">
        <v>644</v>
      </c>
      <c r="S114" t="s">
        <v>652</v>
      </c>
      <c r="T114" t="s">
        <v>50</v>
      </c>
      <c r="U114" t="s">
        <v>646</v>
      </c>
      <c r="V114" t="s">
        <v>49</v>
      </c>
      <c r="W114" t="s">
        <v>66</v>
      </c>
      <c r="Y114" t="s">
        <v>647</v>
      </c>
    </row>
    <row r="115" spans="1:25" x14ac:dyDescent="0.25">
      <c r="A115">
        <v>114</v>
      </c>
      <c r="B115" t="s">
        <v>235</v>
      </c>
      <c r="C115">
        <v>2026</v>
      </c>
      <c r="D115">
        <v>4</v>
      </c>
      <c r="E115" t="s">
        <v>347</v>
      </c>
      <c r="F115" t="s">
        <v>665</v>
      </c>
      <c r="G115" t="s">
        <v>894</v>
      </c>
      <c r="H115" t="s">
        <v>649</v>
      </c>
      <c r="I115" t="s">
        <v>656</v>
      </c>
      <c r="J115" t="s">
        <v>687</v>
      </c>
      <c r="K115" t="s">
        <v>895</v>
      </c>
      <c r="L115" t="s">
        <v>642</v>
      </c>
      <c r="M115">
        <v>64142</v>
      </c>
      <c r="N115">
        <v>10262.719999999999</v>
      </c>
      <c r="O115">
        <v>0</v>
      </c>
      <c r="P115">
        <v>74404.72</v>
      </c>
      <c r="Q115" t="s">
        <v>643</v>
      </c>
      <c r="R115" t="s">
        <v>644</v>
      </c>
      <c r="S115" t="s">
        <v>682</v>
      </c>
      <c r="T115" t="s">
        <v>50</v>
      </c>
      <c r="U115" t="s">
        <v>646</v>
      </c>
      <c r="V115" t="s">
        <v>40</v>
      </c>
      <c r="W115" t="s">
        <v>66</v>
      </c>
      <c r="Y115" t="s">
        <v>647</v>
      </c>
    </row>
    <row r="116" spans="1:25" x14ac:dyDescent="0.25">
      <c r="A116">
        <v>115</v>
      </c>
      <c r="B116" t="s">
        <v>236</v>
      </c>
      <c r="C116">
        <v>2026</v>
      </c>
      <c r="D116">
        <v>4</v>
      </c>
      <c r="E116" t="s">
        <v>326</v>
      </c>
      <c r="F116" t="s">
        <v>669</v>
      </c>
      <c r="G116" t="s">
        <v>896</v>
      </c>
      <c r="H116" t="s">
        <v>649</v>
      </c>
      <c r="I116" t="s">
        <v>656</v>
      </c>
      <c r="J116" t="s">
        <v>667</v>
      </c>
      <c r="K116" t="s">
        <v>897</v>
      </c>
      <c r="L116" t="s">
        <v>642</v>
      </c>
      <c r="M116">
        <v>41436</v>
      </c>
      <c r="N116">
        <v>6629.76</v>
      </c>
      <c r="O116">
        <v>0</v>
      </c>
      <c r="P116">
        <v>48065.759999999987</v>
      </c>
      <c r="Q116" t="s">
        <v>643</v>
      </c>
      <c r="R116" t="s">
        <v>644</v>
      </c>
      <c r="S116" t="s">
        <v>682</v>
      </c>
      <c r="T116" t="s">
        <v>75</v>
      </c>
      <c r="U116" t="s">
        <v>646</v>
      </c>
      <c r="V116" t="s">
        <v>49</v>
      </c>
      <c r="W116" t="s">
        <v>49</v>
      </c>
      <c r="Y116" t="s">
        <v>653</v>
      </c>
    </row>
    <row r="117" spans="1:25" x14ac:dyDescent="0.25">
      <c r="A117">
        <v>116</v>
      </c>
      <c r="B117" t="s">
        <v>237</v>
      </c>
      <c r="C117">
        <v>2026</v>
      </c>
      <c r="D117">
        <v>4</v>
      </c>
      <c r="E117" t="s">
        <v>303</v>
      </c>
      <c r="F117" t="s">
        <v>654</v>
      </c>
      <c r="G117" t="s">
        <v>898</v>
      </c>
      <c r="H117" t="s">
        <v>649</v>
      </c>
      <c r="I117" t="s">
        <v>656</v>
      </c>
      <c r="J117" t="s">
        <v>59</v>
      </c>
      <c r="K117" t="s">
        <v>899</v>
      </c>
      <c r="L117" t="s">
        <v>642</v>
      </c>
      <c r="M117">
        <v>84839</v>
      </c>
      <c r="N117">
        <v>13574.24</v>
      </c>
      <c r="O117">
        <v>0</v>
      </c>
      <c r="P117">
        <v>98413.239999999991</v>
      </c>
      <c r="Q117" t="s">
        <v>643</v>
      </c>
      <c r="R117" t="s">
        <v>644</v>
      </c>
      <c r="S117" t="s">
        <v>645</v>
      </c>
      <c r="T117" t="s">
        <v>50</v>
      </c>
      <c r="U117" t="s">
        <v>646</v>
      </c>
      <c r="V117" t="s">
        <v>27</v>
      </c>
      <c r="W117" t="s">
        <v>27</v>
      </c>
      <c r="Y117" t="s">
        <v>653</v>
      </c>
    </row>
    <row r="118" spans="1:25" x14ac:dyDescent="0.25">
      <c r="A118">
        <v>117</v>
      </c>
      <c r="B118" t="s">
        <v>238</v>
      </c>
      <c r="C118">
        <v>2026</v>
      </c>
      <c r="D118">
        <v>4</v>
      </c>
      <c r="E118" t="s">
        <v>332</v>
      </c>
      <c r="F118" t="s">
        <v>695</v>
      </c>
      <c r="G118" t="s">
        <v>900</v>
      </c>
      <c r="H118" t="s">
        <v>20</v>
      </c>
      <c r="I118" t="s">
        <v>639</v>
      </c>
      <c r="J118" t="s">
        <v>59</v>
      </c>
      <c r="K118" t="s">
        <v>901</v>
      </c>
      <c r="L118" t="s">
        <v>642</v>
      </c>
      <c r="M118">
        <v>95506</v>
      </c>
      <c r="N118">
        <v>15280.96</v>
      </c>
      <c r="O118">
        <v>0</v>
      </c>
      <c r="P118">
        <v>110786.96</v>
      </c>
      <c r="Q118" t="s">
        <v>643</v>
      </c>
      <c r="R118" t="s">
        <v>644</v>
      </c>
      <c r="S118" t="s">
        <v>704</v>
      </c>
      <c r="T118" t="s">
        <v>75</v>
      </c>
      <c r="U118" t="s">
        <v>646</v>
      </c>
      <c r="V118" t="s">
        <v>49</v>
      </c>
      <c r="W118" t="s">
        <v>27</v>
      </c>
      <c r="Y118" t="s">
        <v>647</v>
      </c>
    </row>
    <row r="119" spans="1:25" x14ac:dyDescent="0.25">
      <c r="A119">
        <v>118</v>
      </c>
      <c r="B119" t="s">
        <v>239</v>
      </c>
      <c r="C119">
        <v>2026</v>
      </c>
      <c r="D119">
        <v>4</v>
      </c>
      <c r="E119" t="s">
        <v>347</v>
      </c>
      <c r="F119" t="s">
        <v>669</v>
      </c>
      <c r="G119" t="s">
        <v>902</v>
      </c>
      <c r="H119" t="s">
        <v>20</v>
      </c>
      <c r="I119" t="s">
        <v>639</v>
      </c>
      <c r="J119" t="s">
        <v>726</v>
      </c>
      <c r="K119" t="s">
        <v>903</v>
      </c>
      <c r="L119" t="s">
        <v>642</v>
      </c>
      <c r="M119">
        <v>39139</v>
      </c>
      <c r="N119">
        <v>6262.24</v>
      </c>
      <c r="O119">
        <v>0</v>
      </c>
      <c r="P119">
        <v>45401.24</v>
      </c>
      <c r="Q119" t="s">
        <v>643</v>
      </c>
      <c r="R119" t="s">
        <v>644</v>
      </c>
      <c r="S119" t="s">
        <v>645</v>
      </c>
      <c r="T119" t="s">
        <v>75</v>
      </c>
      <c r="U119" t="s">
        <v>646</v>
      </c>
      <c r="V119" t="s">
        <v>40</v>
      </c>
      <c r="W119" t="s">
        <v>49</v>
      </c>
      <c r="Y119" t="s">
        <v>647</v>
      </c>
    </row>
    <row r="120" spans="1:25" x14ac:dyDescent="0.25">
      <c r="A120">
        <v>119</v>
      </c>
      <c r="B120" t="s">
        <v>240</v>
      </c>
      <c r="C120">
        <v>2026</v>
      </c>
      <c r="D120">
        <v>4</v>
      </c>
      <c r="E120" t="s">
        <v>312</v>
      </c>
      <c r="F120" t="s">
        <v>637</v>
      </c>
      <c r="G120" t="s">
        <v>904</v>
      </c>
      <c r="H120" t="s">
        <v>649</v>
      </c>
      <c r="I120" t="s">
        <v>656</v>
      </c>
      <c r="J120" t="s">
        <v>662</v>
      </c>
      <c r="K120" t="s">
        <v>905</v>
      </c>
      <c r="L120" t="s">
        <v>642</v>
      </c>
      <c r="M120">
        <v>115335</v>
      </c>
      <c r="N120">
        <v>18453.599999999999</v>
      </c>
      <c r="O120">
        <v>0</v>
      </c>
      <c r="P120">
        <v>133788.6</v>
      </c>
      <c r="Q120" t="s">
        <v>643</v>
      </c>
      <c r="R120" t="s">
        <v>644</v>
      </c>
      <c r="S120" t="s">
        <v>645</v>
      </c>
      <c r="T120" t="s">
        <v>75</v>
      </c>
      <c r="U120" t="s">
        <v>646</v>
      </c>
      <c r="V120" t="s">
        <v>49</v>
      </c>
      <c r="W120" t="s">
        <v>27</v>
      </c>
      <c r="Y120" t="s">
        <v>653</v>
      </c>
    </row>
    <row r="121" spans="1:25" x14ac:dyDescent="0.25">
      <c r="A121">
        <v>120</v>
      </c>
      <c r="B121" t="s">
        <v>241</v>
      </c>
      <c r="C121">
        <v>2026</v>
      </c>
      <c r="D121">
        <v>4</v>
      </c>
      <c r="E121" t="s">
        <v>332</v>
      </c>
      <c r="F121" t="s">
        <v>654</v>
      </c>
      <c r="G121" t="s">
        <v>906</v>
      </c>
      <c r="H121" t="s">
        <v>649</v>
      </c>
      <c r="I121" t="s">
        <v>639</v>
      </c>
      <c r="J121" t="s">
        <v>714</v>
      </c>
      <c r="K121" t="s">
        <v>907</v>
      </c>
      <c r="L121" t="s">
        <v>642</v>
      </c>
      <c r="M121">
        <v>44507</v>
      </c>
      <c r="N121">
        <v>7121.12</v>
      </c>
      <c r="O121">
        <v>0</v>
      </c>
      <c r="P121">
        <v>51628.12</v>
      </c>
      <c r="Q121" t="s">
        <v>643</v>
      </c>
      <c r="R121" t="s">
        <v>644</v>
      </c>
      <c r="S121" t="s">
        <v>704</v>
      </c>
      <c r="T121" t="s">
        <v>50</v>
      </c>
      <c r="U121" t="s">
        <v>646</v>
      </c>
      <c r="V121" t="s">
        <v>40</v>
      </c>
      <c r="W121" t="s">
        <v>27</v>
      </c>
      <c r="Y121" t="s">
        <v>653</v>
      </c>
    </row>
    <row r="122" spans="1:25" x14ac:dyDescent="0.25">
      <c r="A122">
        <v>121</v>
      </c>
      <c r="B122" t="s">
        <v>242</v>
      </c>
      <c r="C122">
        <v>2026</v>
      </c>
      <c r="D122">
        <v>5</v>
      </c>
      <c r="E122" t="s">
        <v>332</v>
      </c>
      <c r="F122" t="s">
        <v>695</v>
      </c>
      <c r="G122" t="s">
        <v>908</v>
      </c>
      <c r="H122" t="s">
        <v>649</v>
      </c>
      <c r="I122" t="s">
        <v>639</v>
      </c>
      <c r="J122" t="s">
        <v>667</v>
      </c>
      <c r="K122" t="s">
        <v>909</v>
      </c>
      <c r="L122" t="s">
        <v>642</v>
      </c>
      <c r="M122">
        <v>66946</v>
      </c>
      <c r="N122">
        <v>10711.36</v>
      </c>
      <c r="O122">
        <v>0</v>
      </c>
      <c r="P122">
        <v>77657.36</v>
      </c>
      <c r="Q122" t="s">
        <v>643</v>
      </c>
      <c r="R122" t="s">
        <v>644</v>
      </c>
      <c r="S122" t="s">
        <v>704</v>
      </c>
      <c r="T122" t="s">
        <v>29</v>
      </c>
      <c r="U122" t="s">
        <v>646</v>
      </c>
      <c r="V122" t="s">
        <v>49</v>
      </c>
      <c r="W122" t="s">
        <v>49</v>
      </c>
      <c r="Y122" t="s">
        <v>647</v>
      </c>
    </row>
    <row r="123" spans="1:25" x14ac:dyDescent="0.25">
      <c r="A123">
        <v>122</v>
      </c>
      <c r="B123" t="s">
        <v>243</v>
      </c>
      <c r="C123">
        <v>2026</v>
      </c>
      <c r="D123">
        <v>5</v>
      </c>
      <c r="E123" t="s">
        <v>312</v>
      </c>
      <c r="F123" t="s">
        <v>654</v>
      </c>
      <c r="G123" t="s">
        <v>910</v>
      </c>
      <c r="H123" t="s">
        <v>20</v>
      </c>
      <c r="I123" t="s">
        <v>639</v>
      </c>
      <c r="J123" t="s">
        <v>739</v>
      </c>
      <c r="K123" t="s">
        <v>911</v>
      </c>
      <c r="L123" t="s">
        <v>642</v>
      </c>
      <c r="M123">
        <v>49798</v>
      </c>
      <c r="N123">
        <v>7967.68</v>
      </c>
      <c r="O123">
        <v>0</v>
      </c>
      <c r="P123">
        <v>57765.679999999993</v>
      </c>
      <c r="Q123" t="s">
        <v>643</v>
      </c>
      <c r="R123" t="s">
        <v>644</v>
      </c>
      <c r="S123" t="s">
        <v>645</v>
      </c>
      <c r="T123" t="s">
        <v>29</v>
      </c>
      <c r="U123" t="s">
        <v>646</v>
      </c>
      <c r="V123" t="s">
        <v>49</v>
      </c>
      <c r="W123" t="s">
        <v>66</v>
      </c>
      <c r="Y123" t="s">
        <v>653</v>
      </c>
    </row>
    <row r="124" spans="1:25" x14ac:dyDescent="0.25">
      <c r="A124">
        <v>123</v>
      </c>
      <c r="B124" t="s">
        <v>244</v>
      </c>
      <c r="C124">
        <v>2026</v>
      </c>
      <c r="D124">
        <v>5</v>
      </c>
      <c r="E124" t="s">
        <v>347</v>
      </c>
      <c r="F124" t="s">
        <v>665</v>
      </c>
      <c r="G124" t="s">
        <v>912</v>
      </c>
      <c r="H124" t="s">
        <v>649</v>
      </c>
      <c r="I124" t="s">
        <v>639</v>
      </c>
      <c r="J124" t="s">
        <v>674</v>
      </c>
      <c r="K124" t="s">
        <v>913</v>
      </c>
      <c r="L124" t="s">
        <v>642</v>
      </c>
      <c r="M124">
        <v>63549</v>
      </c>
      <c r="N124">
        <v>10167.84</v>
      </c>
      <c r="O124">
        <v>0</v>
      </c>
      <c r="P124">
        <v>73716.84</v>
      </c>
      <c r="Q124" t="s">
        <v>643</v>
      </c>
      <c r="R124" t="s">
        <v>644</v>
      </c>
      <c r="S124" t="s">
        <v>664</v>
      </c>
      <c r="T124" t="s">
        <v>29</v>
      </c>
      <c r="U124" t="s">
        <v>646</v>
      </c>
      <c r="V124" t="s">
        <v>27</v>
      </c>
      <c r="W124" t="s">
        <v>27</v>
      </c>
      <c r="Y124" t="s">
        <v>647</v>
      </c>
    </row>
    <row r="125" spans="1:25" x14ac:dyDescent="0.25">
      <c r="A125">
        <v>124</v>
      </c>
      <c r="B125" t="s">
        <v>245</v>
      </c>
      <c r="C125">
        <v>2026</v>
      </c>
      <c r="D125">
        <v>5</v>
      </c>
      <c r="E125" t="s">
        <v>347</v>
      </c>
      <c r="F125" t="s">
        <v>665</v>
      </c>
      <c r="G125" t="s">
        <v>914</v>
      </c>
      <c r="H125" t="s">
        <v>649</v>
      </c>
      <c r="I125" t="s">
        <v>650</v>
      </c>
      <c r="J125" t="s">
        <v>59</v>
      </c>
      <c r="K125" t="s">
        <v>915</v>
      </c>
      <c r="L125" t="s">
        <v>642</v>
      </c>
      <c r="M125">
        <v>118331</v>
      </c>
      <c r="N125">
        <v>18932.96</v>
      </c>
      <c r="O125">
        <v>0</v>
      </c>
      <c r="P125">
        <v>137263.96</v>
      </c>
      <c r="Q125" t="s">
        <v>643</v>
      </c>
      <c r="R125" t="s">
        <v>644</v>
      </c>
      <c r="S125" t="s">
        <v>652</v>
      </c>
      <c r="T125" t="s">
        <v>50</v>
      </c>
      <c r="U125" t="s">
        <v>646</v>
      </c>
      <c r="V125" t="s">
        <v>40</v>
      </c>
      <c r="W125" t="s">
        <v>49</v>
      </c>
      <c r="Y125" t="s">
        <v>647</v>
      </c>
    </row>
    <row r="126" spans="1:25" x14ac:dyDescent="0.25">
      <c r="A126">
        <v>125</v>
      </c>
      <c r="B126" t="s">
        <v>247</v>
      </c>
      <c r="C126">
        <v>2026</v>
      </c>
      <c r="D126">
        <v>5</v>
      </c>
      <c r="E126" t="s">
        <v>326</v>
      </c>
      <c r="F126" t="s">
        <v>665</v>
      </c>
      <c r="G126" t="s">
        <v>916</v>
      </c>
      <c r="H126" t="s">
        <v>20</v>
      </c>
      <c r="I126" t="s">
        <v>639</v>
      </c>
      <c r="J126" t="s">
        <v>667</v>
      </c>
      <c r="K126" t="s">
        <v>917</v>
      </c>
      <c r="L126" t="s">
        <v>642</v>
      </c>
      <c r="M126">
        <v>10471</v>
      </c>
      <c r="N126">
        <v>1675.36</v>
      </c>
      <c r="O126">
        <v>0</v>
      </c>
      <c r="P126">
        <v>12146.36</v>
      </c>
      <c r="Q126" t="s">
        <v>643</v>
      </c>
      <c r="R126" t="s">
        <v>644</v>
      </c>
      <c r="S126" t="s">
        <v>645</v>
      </c>
      <c r="T126" t="s">
        <v>50</v>
      </c>
      <c r="U126" t="s">
        <v>646</v>
      </c>
      <c r="V126" t="s">
        <v>40</v>
      </c>
      <c r="W126" t="s">
        <v>27</v>
      </c>
      <c r="Y126" t="s">
        <v>647</v>
      </c>
    </row>
    <row r="127" spans="1:25" x14ac:dyDescent="0.25">
      <c r="A127">
        <v>126</v>
      </c>
      <c r="B127" t="s">
        <v>248</v>
      </c>
      <c r="C127">
        <v>2026</v>
      </c>
      <c r="D127">
        <v>5</v>
      </c>
      <c r="E127" t="s">
        <v>326</v>
      </c>
      <c r="F127" t="s">
        <v>695</v>
      </c>
      <c r="G127" t="s">
        <v>918</v>
      </c>
      <c r="H127" t="s">
        <v>649</v>
      </c>
      <c r="I127" t="s">
        <v>639</v>
      </c>
      <c r="J127" t="s">
        <v>719</v>
      </c>
      <c r="K127" t="s">
        <v>919</v>
      </c>
      <c r="L127" t="s">
        <v>642</v>
      </c>
      <c r="M127">
        <v>81435</v>
      </c>
      <c r="N127">
        <v>13029.6</v>
      </c>
      <c r="O127">
        <v>0</v>
      </c>
      <c r="P127">
        <v>94464.599999999991</v>
      </c>
      <c r="Q127" t="s">
        <v>643</v>
      </c>
      <c r="R127" t="s">
        <v>644</v>
      </c>
      <c r="S127" t="s">
        <v>652</v>
      </c>
      <c r="T127" t="s">
        <v>42</v>
      </c>
      <c r="U127" t="s">
        <v>646</v>
      </c>
      <c r="V127" t="s">
        <v>49</v>
      </c>
      <c r="W127" t="s">
        <v>66</v>
      </c>
      <c r="Y127" t="s">
        <v>647</v>
      </c>
    </row>
    <row r="128" spans="1:25" x14ac:dyDescent="0.25">
      <c r="A128">
        <v>127</v>
      </c>
      <c r="B128" t="s">
        <v>250</v>
      </c>
      <c r="C128">
        <v>2026</v>
      </c>
      <c r="D128">
        <v>5</v>
      </c>
      <c r="E128" t="s">
        <v>312</v>
      </c>
      <c r="F128" t="s">
        <v>654</v>
      </c>
      <c r="G128" t="s">
        <v>920</v>
      </c>
      <c r="H128" t="s">
        <v>649</v>
      </c>
      <c r="I128" t="s">
        <v>650</v>
      </c>
      <c r="J128" t="s">
        <v>674</v>
      </c>
      <c r="K128" t="s">
        <v>921</v>
      </c>
      <c r="L128" t="s">
        <v>642</v>
      </c>
      <c r="M128">
        <v>60426</v>
      </c>
      <c r="N128">
        <v>9668.16</v>
      </c>
      <c r="O128">
        <v>0</v>
      </c>
      <c r="P128">
        <v>70094.159999999989</v>
      </c>
      <c r="Q128" t="s">
        <v>643</v>
      </c>
      <c r="R128" t="s">
        <v>644</v>
      </c>
      <c r="S128" t="s">
        <v>652</v>
      </c>
      <c r="T128" t="s">
        <v>29</v>
      </c>
      <c r="U128" t="s">
        <v>646</v>
      </c>
      <c r="V128" t="s">
        <v>27</v>
      </c>
      <c r="W128" t="s">
        <v>49</v>
      </c>
      <c r="Y128" t="s">
        <v>647</v>
      </c>
    </row>
    <row r="129" spans="1:25" x14ac:dyDescent="0.25">
      <c r="A129">
        <v>128</v>
      </c>
      <c r="B129" t="s">
        <v>251</v>
      </c>
      <c r="C129">
        <v>2026</v>
      </c>
      <c r="D129">
        <v>5</v>
      </c>
      <c r="E129" t="s">
        <v>303</v>
      </c>
      <c r="F129" t="s">
        <v>669</v>
      </c>
      <c r="G129" t="s">
        <v>922</v>
      </c>
      <c r="H129" t="s">
        <v>20</v>
      </c>
      <c r="I129" t="s">
        <v>656</v>
      </c>
      <c r="J129" t="s">
        <v>680</v>
      </c>
      <c r="K129" t="s">
        <v>923</v>
      </c>
      <c r="L129" t="s">
        <v>642</v>
      </c>
      <c r="M129">
        <v>145883</v>
      </c>
      <c r="N129">
        <v>23341.279999999999</v>
      </c>
      <c r="O129">
        <v>0</v>
      </c>
      <c r="P129">
        <v>169224.28</v>
      </c>
      <c r="Q129" t="s">
        <v>643</v>
      </c>
      <c r="R129" t="s">
        <v>644</v>
      </c>
      <c r="S129" t="s">
        <v>682</v>
      </c>
      <c r="T129" t="s">
        <v>29</v>
      </c>
      <c r="U129" t="s">
        <v>646</v>
      </c>
      <c r="V129" t="s">
        <v>40</v>
      </c>
      <c r="W129" t="s">
        <v>66</v>
      </c>
      <c r="Y129" t="s">
        <v>653</v>
      </c>
    </row>
    <row r="130" spans="1:25" x14ac:dyDescent="0.25">
      <c r="A130">
        <v>129</v>
      </c>
      <c r="B130" t="s">
        <v>252</v>
      </c>
      <c r="C130">
        <v>2026</v>
      </c>
      <c r="D130">
        <v>5</v>
      </c>
      <c r="E130" t="s">
        <v>303</v>
      </c>
      <c r="F130" t="s">
        <v>695</v>
      </c>
      <c r="G130" t="s">
        <v>924</v>
      </c>
      <c r="H130" t="s">
        <v>649</v>
      </c>
      <c r="I130" t="s">
        <v>639</v>
      </c>
      <c r="J130" t="s">
        <v>41</v>
      </c>
      <c r="K130" t="s">
        <v>925</v>
      </c>
      <c r="L130" t="s">
        <v>642</v>
      </c>
      <c r="M130">
        <v>103839</v>
      </c>
      <c r="N130">
        <v>16614.240000000002</v>
      </c>
      <c r="O130">
        <v>0</v>
      </c>
      <c r="P130">
        <v>120453.24</v>
      </c>
      <c r="Q130" t="s">
        <v>643</v>
      </c>
      <c r="R130" t="s">
        <v>644</v>
      </c>
      <c r="S130" t="s">
        <v>664</v>
      </c>
      <c r="T130" t="s">
        <v>50</v>
      </c>
      <c r="U130" t="s">
        <v>646</v>
      </c>
      <c r="V130" t="s">
        <v>49</v>
      </c>
      <c r="W130" t="s">
        <v>49</v>
      </c>
      <c r="Y130" t="s">
        <v>653</v>
      </c>
    </row>
    <row r="131" spans="1:25" x14ac:dyDescent="0.25">
      <c r="A131">
        <v>130</v>
      </c>
      <c r="B131" t="s">
        <v>253</v>
      </c>
      <c r="C131">
        <v>2026</v>
      </c>
      <c r="D131">
        <v>5</v>
      </c>
      <c r="E131" t="s">
        <v>332</v>
      </c>
      <c r="F131" t="s">
        <v>654</v>
      </c>
      <c r="G131" t="s">
        <v>926</v>
      </c>
      <c r="H131" t="s">
        <v>649</v>
      </c>
      <c r="I131" t="s">
        <v>656</v>
      </c>
      <c r="J131" t="s">
        <v>662</v>
      </c>
      <c r="K131" t="s">
        <v>927</v>
      </c>
      <c r="L131" t="s">
        <v>642</v>
      </c>
      <c r="M131">
        <v>130867</v>
      </c>
      <c r="N131">
        <v>20938.72</v>
      </c>
      <c r="O131">
        <v>0</v>
      </c>
      <c r="P131">
        <v>151805.72</v>
      </c>
      <c r="Q131" t="s">
        <v>643</v>
      </c>
      <c r="R131" t="s">
        <v>644</v>
      </c>
      <c r="S131" t="s">
        <v>682</v>
      </c>
      <c r="T131" t="s">
        <v>50</v>
      </c>
      <c r="U131" t="s">
        <v>646</v>
      </c>
      <c r="V131" t="s">
        <v>27</v>
      </c>
      <c r="W131" t="s">
        <v>66</v>
      </c>
      <c r="Y131" t="s">
        <v>647</v>
      </c>
    </row>
    <row r="132" spans="1:25" x14ac:dyDescent="0.25">
      <c r="A132">
        <v>131</v>
      </c>
      <c r="B132" t="s">
        <v>254</v>
      </c>
      <c r="C132">
        <v>2026</v>
      </c>
      <c r="D132">
        <v>5</v>
      </c>
      <c r="E132" t="s">
        <v>347</v>
      </c>
      <c r="F132" t="s">
        <v>665</v>
      </c>
      <c r="G132" t="s">
        <v>928</v>
      </c>
      <c r="H132" t="s">
        <v>649</v>
      </c>
      <c r="I132" t="s">
        <v>656</v>
      </c>
      <c r="J132" t="s">
        <v>41</v>
      </c>
      <c r="K132" t="s">
        <v>929</v>
      </c>
      <c r="L132" t="s">
        <v>642</v>
      </c>
      <c r="M132">
        <v>64474</v>
      </c>
      <c r="N132">
        <v>10315.84</v>
      </c>
      <c r="O132">
        <v>0</v>
      </c>
      <c r="P132">
        <v>74789.84</v>
      </c>
      <c r="Q132" t="s">
        <v>643</v>
      </c>
      <c r="R132" t="s">
        <v>644</v>
      </c>
      <c r="S132" t="s">
        <v>652</v>
      </c>
      <c r="T132" t="s">
        <v>75</v>
      </c>
      <c r="U132" t="s">
        <v>646</v>
      </c>
      <c r="V132" t="s">
        <v>27</v>
      </c>
      <c r="W132" t="s">
        <v>66</v>
      </c>
      <c r="Y132" t="s">
        <v>653</v>
      </c>
    </row>
    <row r="133" spans="1:25" x14ac:dyDescent="0.25">
      <c r="A133">
        <v>132</v>
      </c>
      <c r="B133" t="s">
        <v>255</v>
      </c>
      <c r="C133">
        <v>2026</v>
      </c>
      <c r="D133">
        <v>5</v>
      </c>
      <c r="E133" t="s">
        <v>332</v>
      </c>
      <c r="F133" t="s">
        <v>637</v>
      </c>
      <c r="G133" t="s">
        <v>930</v>
      </c>
      <c r="H133" t="s">
        <v>20</v>
      </c>
      <c r="I133" t="s">
        <v>639</v>
      </c>
      <c r="J133" t="s">
        <v>640</v>
      </c>
      <c r="K133" t="s">
        <v>931</v>
      </c>
      <c r="L133" t="s">
        <v>642</v>
      </c>
      <c r="M133">
        <v>78945</v>
      </c>
      <c r="N133">
        <v>12631.2</v>
      </c>
      <c r="O133">
        <v>0</v>
      </c>
      <c r="P133">
        <v>91576.2</v>
      </c>
      <c r="Q133" t="s">
        <v>643</v>
      </c>
      <c r="R133" t="s">
        <v>644</v>
      </c>
      <c r="S133" t="s">
        <v>682</v>
      </c>
      <c r="T133" t="s">
        <v>29</v>
      </c>
      <c r="U133" t="s">
        <v>646</v>
      </c>
      <c r="V133" t="s">
        <v>49</v>
      </c>
      <c r="W133" t="s">
        <v>49</v>
      </c>
      <c r="Y133" t="s">
        <v>647</v>
      </c>
    </row>
    <row r="134" spans="1:25" x14ac:dyDescent="0.25">
      <c r="A134">
        <v>133</v>
      </c>
      <c r="B134" t="s">
        <v>256</v>
      </c>
      <c r="C134">
        <v>2026</v>
      </c>
      <c r="D134">
        <v>5</v>
      </c>
      <c r="E134" t="s">
        <v>347</v>
      </c>
      <c r="F134" t="s">
        <v>669</v>
      </c>
      <c r="G134" t="s">
        <v>932</v>
      </c>
      <c r="H134" t="s">
        <v>649</v>
      </c>
      <c r="I134" t="s">
        <v>656</v>
      </c>
      <c r="J134" t="s">
        <v>662</v>
      </c>
      <c r="K134" t="s">
        <v>933</v>
      </c>
      <c r="L134" t="s">
        <v>642</v>
      </c>
      <c r="M134">
        <v>81969</v>
      </c>
      <c r="N134">
        <v>13115.04</v>
      </c>
      <c r="O134">
        <v>0</v>
      </c>
      <c r="P134">
        <v>95084.04</v>
      </c>
      <c r="Q134" t="s">
        <v>643</v>
      </c>
      <c r="R134" t="s">
        <v>644</v>
      </c>
      <c r="S134" t="s">
        <v>652</v>
      </c>
      <c r="T134" t="s">
        <v>29</v>
      </c>
      <c r="U134" t="s">
        <v>646</v>
      </c>
      <c r="V134" t="s">
        <v>27</v>
      </c>
      <c r="W134" t="s">
        <v>66</v>
      </c>
      <c r="Y134" t="s">
        <v>647</v>
      </c>
    </row>
    <row r="135" spans="1:25" x14ac:dyDescent="0.25">
      <c r="A135">
        <v>134</v>
      </c>
      <c r="B135" t="s">
        <v>257</v>
      </c>
      <c r="C135">
        <v>2026</v>
      </c>
      <c r="D135">
        <v>5</v>
      </c>
      <c r="E135" t="s">
        <v>347</v>
      </c>
      <c r="F135" t="s">
        <v>654</v>
      </c>
      <c r="G135" t="s">
        <v>934</v>
      </c>
      <c r="H135" t="s">
        <v>20</v>
      </c>
      <c r="I135" t="s">
        <v>656</v>
      </c>
      <c r="J135" t="s">
        <v>687</v>
      </c>
      <c r="K135" t="s">
        <v>935</v>
      </c>
      <c r="L135" t="s">
        <v>642</v>
      </c>
      <c r="M135">
        <v>108383</v>
      </c>
      <c r="N135">
        <v>17341.28</v>
      </c>
      <c r="O135">
        <v>0</v>
      </c>
      <c r="P135">
        <v>125724.28</v>
      </c>
      <c r="Q135" t="s">
        <v>643</v>
      </c>
      <c r="R135" t="s">
        <v>644</v>
      </c>
      <c r="S135" t="s">
        <v>652</v>
      </c>
      <c r="T135" t="s">
        <v>29</v>
      </c>
      <c r="U135" t="s">
        <v>646</v>
      </c>
      <c r="V135" t="s">
        <v>27</v>
      </c>
      <c r="W135" t="s">
        <v>49</v>
      </c>
      <c r="Y135" t="s">
        <v>647</v>
      </c>
    </row>
    <row r="136" spans="1:25" x14ac:dyDescent="0.25">
      <c r="A136">
        <v>135</v>
      </c>
      <c r="B136" t="s">
        <v>258</v>
      </c>
      <c r="C136">
        <v>2026</v>
      </c>
      <c r="D136">
        <v>5</v>
      </c>
      <c r="E136" t="s">
        <v>326</v>
      </c>
      <c r="F136" t="s">
        <v>637</v>
      </c>
      <c r="G136" t="s">
        <v>936</v>
      </c>
      <c r="H136" t="s">
        <v>649</v>
      </c>
      <c r="I136" t="s">
        <v>639</v>
      </c>
      <c r="J136" t="s">
        <v>59</v>
      </c>
      <c r="K136" t="s">
        <v>937</v>
      </c>
      <c r="L136" t="s">
        <v>642</v>
      </c>
      <c r="M136">
        <v>69600</v>
      </c>
      <c r="N136">
        <v>11136</v>
      </c>
      <c r="O136">
        <v>0</v>
      </c>
      <c r="P136">
        <v>80736</v>
      </c>
      <c r="Q136" t="s">
        <v>643</v>
      </c>
      <c r="R136" t="s">
        <v>644</v>
      </c>
      <c r="S136" t="s">
        <v>664</v>
      </c>
      <c r="T136" t="s">
        <v>75</v>
      </c>
      <c r="U136" t="s">
        <v>646</v>
      </c>
      <c r="V136" t="s">
        <v>40</v>
      </c>
      <c r="W136" t="s">
        <v>66</v>
      </c>
      <c r="Y136" t="s">
        <v>653</v>
      </c>
    </row>
    <row r="137" spans="1:25" x14ac:dyDescent="0.25">
      <c r="A137">
        <v>136</v>
      </c>
      <c r="B137" t="s">
        <v>259</v>
      </c>
      <c r="C137">
        <v>2026</v>
      </c>
      <c r="D137">
        <v>5</v>
      </c>
      <c r="E137" t="s">
        <v>347</v>
      </c>
      <c r="F137" t="s">
        <v>665</v>
      </c>
      <c r="G137" t="s">
        <v>938</v>
      </c>
      <c r="H137" t="s">
        <v>20</v>
      </c>
      <c r="I137" t="s">
        <v>639</v>
      </c>
      <c r="J137" t="s">
        <v>28</v>
      </c>
      <c r="K137" t="s">
        <v>939</v>
      </c>
      <c r="L137" t="s">
        <v>642</v>
      </c>
      <c r="M137">
        <v>38481</v>
      </c>
      <c r="N137">
        <v>6156.96</v>
      </c>
      <c r="O137">
        <v>0</v>
      </c>
      <c r="P137">
        <v>44637.96</v>
      </c>
      <c r="Q137" t="s">
        <v>643</v>
      </c>
      <c r="R137" t="s">
        <v>644</v>
      </c>
      <c r="S137" t="s">
        <v>682</v>
      </c>
      <c r="T137" t="s">
        <v>50</v>
      </c>
      <c r="U137" t="s">
        <v>646</v>
      </c>
      <c r="V137" t="s">
        <v>49</v>
      </c>
      <c r="W137" t="s">
        <v>49</v>
      </c>
      <c r="Y137" t="s">
        <v>653</v>
      </c>
    </row>
    <row r="138" spans="1:25" x14ac:dyDescent="0.25">
      <c r="A138">
        <v>137</v>
      </c>
      <c r="B138" t="s">
        <v>260</v>
      </c>
      <c r="C138">
        <v>2026</v>
      </c>
      <c r="D138">
        <v>5</v>
      </c>
      <c r="E138" t="s">
        <v>312</v>
      </c>
      <c r="F138" t="s">
        <v>654</v>
      </c>
      <c r="G138" t="s">
        <v>940</v>
      </c>
      <c r="H138" t="s">
        <v>649</v>
      </c>
      <c r="I138" t="s">
        <v>650</v>
      </c>
      <c r="J138" t="s">
        <v>699</v>
      </c>
      <c r="K138" t="s">
        <v>941</v>
      </c>
      <c r="L138" t="s">
        <v>642</v>
      </c>
      <c r="M138">
        <v>30147</v>
      </c>
      <c r="N138">
        <v>4823.5200000000004</v>
      </c>
      <c r="O138">
        <v>0</v>
      </c>
      <c r="P138">
        <v>34970.519999999997</v>
      </c>
      <c r="Q138" t="s">
        <v>643</v>
      </c>
      <c r="R138" t="s">
        <v>644</v>
      </c>
      <c r="S138" t="s">
        <v>704</v>
      </c>
      <c r="T138" t="s">
        <v>50</v>
      </c>
      <c r="U138" t="s">
        <v>646</v>
      </c>
      <c r="V138" t="s">
        <v>49</v>
      </c>
      <c r="W138" t="s">
        <v>66</v>
      </c>
      <c r="Y138" t="s">
        <v>647</v>
      </c>
    </row>
    <row r="139" spans="1:25" x14ac:dyDescent="0.25">
      <c r="A139">
        <v>138</v>
      </c>
      <c r="B139" t="s">
        <v>261</v>
      </c>
      <c r="C139">
        <v>2026</v>
      </c>
      <c r="D139">
        <v>5</v>
      </c>
      <c r="E139" t="s">
        <v>332</v>
      </c>
      <c r="F139" t="s">
        <v>695</v>
      </c>
      <c r="G139" t="s">
        <v>942</v>
      </c>
      <c r="H139" t="s">
        <v>649</v>
      </c>
      <c r="I139" t="s">
        <v>650</v>
      </c>
      <c r="J139" t="s">
        <v>662</v>
      </c>
      <c r="K139" t="s">
        <v>943</v>
      </c>
      <c r="L139" t="s">
        <v>642</v>
      </c>
      <c r="M139">
        <v>127417</v>
      </c>
      <c r="N139">
        <v>20386.72</v>
      </c>
      <c r="O139">
        <v>0</v>
      </c>
      <c r="P139">
        <v>147803.72</v>
      </c>
      <c r="Q139" t="s">
        <v>643</v>
      </c>
      <c r="R139" t="s">
        <v>644</v>
      </c>
      <c r="S139" t="s">
        <v>704</v>
      </c>
      <c r="T139" t="s">
        <v>42</v>
      </c>
      <c r="U139" t="s">
        <v>646</v>
      </c>
      <c r="V139" t="s">
        <v>49</v>
      </c>
      <c r="W139" t="s">
        <v>49</v>
      </c>
      <c r="Y139" t="s">
        <v>647</v>
      </c>
    </row>
    <row r="140" spans="1:25" x14ac:dyDescent="0.25">
      <c r="A140">
        <v>139</v>
      </c>
      <c r="B140" t="s">
        <v>262</v>
      </c>
      <c r="C140">
        <v>2026</v>
      </c>
      <c r="D140">
        <v>5</v>
      </c>
      <c r="E140" t="s">
        <v>312</v>
      </c>
      <c r="F140" t="s">
        <v>665</v>
      </c>
      <c r="G140" t="s">
        <v>831</v>
      </c>
      <c r="H140" t="s">
        <v>649</v>
      </c>
      <c r="I140" t="s">
        <v>656</v>
      </c>
      <c r="J140" t="s">
        <v>674</v>
      </c>
      <c r="K140" t="s">
        <v>944</v>
      </c>
      <c r="L140" t="s">
        <v>642</v>
      </c>
      <c r="M140">
        <v>84379</v>
      </c>
      <c r="N140">
        <v>13500.64</v>
      </c>
      <c r="O140">
        <v>0</v>
      </c>
      <c r="P140">
        <v>97879.64</v>
      </c>
      <c r="Q140" t="s">
        <v>643</v>
      </c>
      <c r="R140" t="s">
        <v>644</v>
      </c>
      <c r="S140" t="s">
        <v>645</v>
      </c>
      <c r="T140" t="s">
        <v>29</v>
      </c>
      <c r="U140" t="s">
        <v>646</v>
      </c>
      <c r="V140" t="s">
        <v>40</v>
      </c>
      <c r="W140" t="s">
        <v>49</v>
      </c>
      <c r="Y140" t="s">
        <v>647</v>
      </c>
    </row>
    <row r="141" spans="1:25" x14ac:dyDescent="0.25">
      <c r="A141">
        <v>140</v>
      </c>
      <c r="B141" t="s">
        <v>263</v>
      </c>
      <c r="C141">
        <v>2026</v>
      </c>
      <c r="D141">
        <v>5</v>
      </c>
      <c r="E141" t="s">
        <v>332</v>
      </c>
      <c r="F141" t="s">
        <v>695</v>
      </c>
      <c r="G141" t="s">
        <v>945</v>
      </c>
      <c r="H141" t="s">
        <v>649</v>
      </c>
      <c r="I141" t="s">
        <v>650</v>
      </c>
      <c r="J141" t="s">
        <v>59</v>
      </c>
      <c r="K141" t="s">
        <v>946</v>
      </c>
      <c r="L141" t="s">
        <v>642</v>
      </c>
      <c r="M141">
        <v>50408</v>
      </c>
      <c r="N141">
        <v>8065.28</v>
      </c>
      <c r="O141">
        <v>0</v>
      </c>
      <c r="P141">
        <v>58473.279999999999</v>
      </c>
      <c r="Q141" t="s">
        <v>643</v>
      </c>
      <c r="R141" t="s">
        <v>644</v>
      </c>
      <c r="S141" t="s">
        <v>704</v>
      </c>
      <c r="T141" t="s">
        <v>29</v>
      </c>
      <c r="U141" t="s">
        <v>646</v>
      </c>
      <c r="V141" t="s">
        <v>27</v>
      </c>
      <c r="W141" t="s">
        <v>27</v>
      </c>
      <c r="Y141" t="s">
        <v>647</v>
      </c>
    </row>
    <row r="142" spans="1:25" x14ac:dyDescent="0.25">
      <c r="A142">
        <v>141</v>
      </c>
      <c r="B142" t="s">
        <v>264</v>
      </c>
      <c r="C142">
        <v>2026</v>
      </c>
      <c r="D142">
        <v>5</v>
      </c>
      <c r="E142" t="s">
        <v>312</v>
      </c>
      <c r="F142" t="s">
        <v>637</v>
      </c>
      <c r="G142" t="s">
        <v>947</v>
      </c>
      <c r="H142" t="s">
        <v>20</v>
      </c>
      <c r="I142" t="s">
        <v>656</v>
      </c>
      <c r="J142" t="s">
        <v>726</v>
      </c>
      <c r="K142" t="s">
        <v>948</v>
      </c>
      <c r="L142" t="s">
        <v>642</v>
      </c>
      <c r="M142">
        <v>15289</v>
      </c>
      <c r="N142">
        <v>2446.2399999999998</v>
      </c>
      <c r="O142">
        <v>0</v>
      </c>
      <c r="P142">
        <v>17735.240000000002</v>
      </c>
      <c r="Q142" t="s">
        <v>643</v>
      </c>
      <c r="R142" t="s">
        <v>644</v>
      </c>
      <c r="S142" t="s">
        <v>645</v>
      </c>
      <c r="T142" t="s">
        <v>75</v>
      </c>
      <c r="U142" t="s">
        <v>646</v>
      </c>
      <c r="V142" t="s">
        <v>40</v>
      </c>
      <c r="W142" t="s">
        <v>27</v>
      </c>
      <c r="Y142" t="s">
        <v>653</v>
      </c>
    </row>
    <row r="143" spans="1:25" x14ac:dyDescent="0.25">
      <c r="A143">
        <v>142</v>
      </c>
      <c r="B143" t="s">
        <v>265</v>
      </c>
      <c r="C143">
        <v>2026</v>
      </c>
      <c r="D143">
        <v>5</v>
      </c>
      <c r="E143" t="s">
        <v>326</v>
      </c>
      <c r="F143" t="s">
        <v>637</v>
      </c>
      <c r="G143" t="s">
        <v>949</v>
      </c>
      <c r="H143" t="s">
        <v>649</v>
      </c>
      <c r="I143" t="s">
        <v>639</v>
      </c>
      <c r="J143" t="s">
        <v>770</v>
      </c>
      <c r="K143" t="s">
        <v>950</v>
      </c>
      <c r="L143" t="s">
        <v>642</v>
      </c>
      <c r="M143">
        <v>122994</v>
      </c>
      <c r="N143">
        <v>19679.04</v>
      </c>
      <c r="O143">
        <v>0</v>
      </c>
      <c r="P143">
        <v>142673.04</v>
      </c>
      <c r="Q143" t="s">
        <v>643</v>
      </c>
      <c r="R143" t="s">
        <v>644</v>
      </c>
      <c r="S143" t="s">
        <v>652</v>
      </c>
      <c r="T143" t="s">
        <v>42</v>
      </c>
      <c r="U143" t="s">
        <v>646</v>
      </c>
      <c r="V143" t="s">
        <v>40</v>
      </c>
      <c r="W143" t="s">
        <v>27</v>
      </c>
      <c r="Y143" t="s">
        <v>647</v>
      </c>
    </row>
    <row r="144" spans="1:25" x14ac:dyDescent="0.25">
      <c r="A144">
        <v>143</v>
      </c>
      <c r="B144" t="s">
        <v>266</v>
      </c>
      <c r="C144">
        <v>2026</v>
      </c>
      <c r="D144">
        <v>5</v>
      </c>
      <c r="E144" t="s">
        <v>332</v>
      </c>
      <c r="F144" t="s">
        <v>654</v>
      </c>
      <c r="G144" t="s">
        <v>951</v>
      </c>
      <c r="H144" t="s">
        <v>20</v>
      </c>
      <c r="I144" t="s">
        <v>639</v>
      </c>
      <c r="J144" t="s">
        <v>687</v>
      </c>
      <c r="K144" t="s">
        <v>952</v>
      </c>
      <c r="L144" t="s">
        <v>642</v>
      </c>
      <c r="M144">
        <v>137450</v>
      </c>
      <c r="N144">
        <v>21992</v>
      </c>
      <c r="O144">
        <v>0</v>
      </c>
      <c r="P144">
        <v>159442</v>
      </c>
      <c r="Q144" t="s">
        <v>643</v>
      </c>
      <c r="R144" t="s">
        <v>644</v>
      </c>
      <c r="S144" t="s">
        <v>682</v>
      </c>
      <c r="T144" t="s">
        <v>42</v>
      </c>
      <c r="U144" t="s">
        <v>646</v>
      </c>
      <c r="V144" t="s">
        <v>49</v>
      </c>
      <c r="W144" t="s">
        <v>49</v>
      </c>
      <c r="Y144" t="s">
        <v>653</v>
      </c>
    </row>
    <row r="145" spans="1:25" x14ac:dyDescent="0.25">
      <c r="A145">
        <v>144</v>
      </c>
      <c r="B145" t="s">
        <v>267</v>
      </c>
      <c r="C145">
        <v>2026</v>
      </c>
      <c r="D145">
        <v>5</v>
      </c>
      <c r="E145" t="s">
        <v>303</v>
      </c>
      <c r="F145" t="s">
        <v>654</v>
      </c>
      <c r="G145" t="s">
        <v>953</v>
      </c>
      <c r="H145" t="s">
        <v>649</v>
      </c>
      <c r="I145" t="s">
        <v>639</v>
      </c>
      <c r="J145" t="s">
        <v>677</v>
      </c>
      <c r="K145" t="s">
        <v>954</v>
      </c>
      <c r="L145" t="s">
        <v>642</v>
      </c>
      <c r="M145">
        <v>28325</v>
      </c>
      <c r="N145">
        <v>4532</v>
      </c>
      <c r="O145">
        <v>0</v>
      </c>
      <c r="P145">
        <v>32857</v>
      </c>
      <c r="Q145" t="s">
        <v>643</v>
      </c>
      <c r="R145" t="s">
        <v>644</v>
      </c>
      <c r="S145" t="s">
        <v>652</v>
      </c>
      <c r="T145" t="s">
        <v>29</v>
      </c>
      <c r="U145" t="s">
        <v>646</v>
      </c>
      <c r="V145" t="s">
        <v>49</v>
      </c>
      <c r="W145" t="s">
        <v>49</v>
      </c>
      <c r="Y145" t="s">
        <v>653</v>
      </c>
    </row>
    <row r="146" spans="1:25" x14ac:dyDescent="0.25">
      <c r="A146">
        <v>145</v>
      </c>
      <c r="B146" t="s">
        <v>268</v>
      </c>
      <c r="C146">
        <v>2026</v>
      </c>
      <c r="D146">
        <v>5</v>
      </c>
      <c r="E146" t="s">
        <v>326</v>
      </c>
      <c r="F146" t="s">
        <v>669</v>
      </c>
      <c r="G146" t="s">
        <v>955</v>
      </c>
      <c r="H146" t="s">
        <v>649</v>
      </c>
      <c r="I146" t="s">
        <v>650</v>
      </c>
      <c r="J146" t="s">
        <v>775</v>
      </c>
      <c r="K146" t="s">
        <v>956</v>
      </c>
      <c r="L146" t="s">
        <v>642</v>
      </c>
      <c r="M146">
        <v>140088</v>
      </c>
      <c r="N146">
        <v>22414.080000000002</v>
      </c>
      <c r="O146">
        <v>0</v>
      </c>
      <c r="P146">
        <v>162502.07999999999</v>
      </c>
      <c r="Q146" t="s">
        <v>643</v>
      </c>
      <c r="R146" t="s">
        <v>644</v>
      </c>
      <c r="S146" t="s">
        <v>704</v>
      </c>
      <c r="T146" t="s">
        <v>75</v>
      </c>
      <c r="U146" t="s">
        <v>646</v>
      </c>
      <c r="V146" t="s">
        <v>40</v>
      </c>
      <c r="W146" t="s">
        <v>66</v>
      </c>
      <c r="Y146" t="s">
        <v>647</v>
      </c>
    </row>
    <row r="147" spans="1:25" x14ac:dyDescent="0.25">
      <c r="A147">
        <v>146</v>
      </c>
      <c r="B147" t="s">
        <v>269</v>
      </c>
      <c r="C147">
        <v>2026</v>
      </c>
      <c r="D147">
        <v>5</v>
      </c>
      <c r="E147" t="s">
        <v>347</v>
      </c>
      <c r="F147" t="s">
        <v>695</v>
      </c>
      <c r="G147" t="s">
        <v>736</v>
      </c>
      <c r="H147" t="s">
        <v>20</v>
      </c>
      <c r="I147" t="s">
        <v>639</v>
      </c>
      <c r="J147" t="s">
        <v>719</v>
      </c>
      <c r="K147" t="s">
        <v>957</v>
      </c>
      <c r="L147" t="s">
        <v>642</v>
      </c>
      <c r="M147">
        <v>24076</v>
      </c>
      <c r="N147">
        <v>3852.16</v>
      </c>
      <c r="O147">
        <v>0</v>
      </c>
      <c r="P147">
        <v>27928.16</v>
      </c>
      <c r="Q147" t="s">
        <v>643</v>
      </c>
      <c r="R147" t="s">
        <v>644</v>
      </c>
      <c r="S147" t="s">
        <v>652</v>
      </c>
      <c r="T147" t="s">
        <v>50</v>
      </c>
      <c r="U147" t="s">
        <v>646</v>
      </c>
      <c r="V147" t="s">
        <v>49</v>
      </c>
      <c r="W147" t="s">
        <v>27</v>
      </c>
      <c r="Y147" t="s">
        <v>647</v>
      </c>
    </row>
    <row r="148" spans="1:25" x14ac:dyDescent="0.25">
      <c r="A148">
        <v>147</v>
      </c>
      <c r="B148" t="s">
        <v>270</v>
      </c>
      <c r="C148">
        <v>2026</v>
      </c>
      <c r="D148">
        <v>5</v>
      </c>
      <c r="E148" t="s">
        <v>332</v>
      </c>
      <c r="F148" t="s">
        <v>637</v>
      </c>
      <c r="G148" t="s">
        <v>958</v>
      </c>
      <c r="H148" t="s">
        <v>649</v>
      </c>
      <c r="I148" t="s">
        <v>656</v>
      </c>
      <c r="J148" t="s">
        <v>726</v>
      </c>
      <c r="K148" t="s">
        <v>959</v>
      </c>
      <c r="L148" t="s">
        <v>642</v>
      </c>
      <c r="M148">
        <v>14877</v>
      </c>
      <c r="N148">
        <v>2380.3200000000002</v>
      </c>
      <c r="O148">
        <v>0</v>
      </c>
      <c r="P148">
        <v>17257.32</v>
      </c>
      <c r="Q148" t="s">
        <v>643</v>
      </c>
      <c r="R148" t="s">
        <v>644</v>
      </c>
      <c r="S148" t="s">
        <v>704</v>
      </c>
      <c r="T148" t="s">
        <v>29</v>
      </c>
      <c r="U148" t="s">
        <v>646</v>
      </c>
      <c r="V148" t="s">
        <v>40</v>
      </c>
      <c r="W148" t="s">
        <v>27</v>
      </c>
      <c r="Y148" t="s">
        <v>647</v>
      </c>
    </row>
    <row r="149" spans="1:25" x14ac:dyDescent="0.25">
      <c r="A149">
        <v>148</v>
      </c>
      <c r="B149" t="s">
        <v>272</v>
      </c>
      <c r="C149">
        <v>2026</v>
      </c>
      <c r="D149">
        <v>5</v>
      </c>
      <c r="E149" t="s">
        <v>303</v>
      </c>
      <c r="F149" t="s">
        <v>695</v>
      </c>
      <c r="G149" t="s">
        <v>960</v>
      </c>
      <c r="H149" t="s">
        <v>649</v>
      </c>
      <c r="I149" t="s">
        <v>639</v>
      </c>
      <c r="J149" t="s">
        <v>775</v>
      </c>
      <c r="K149" t="s">
        <v>961</v>
      </c>
      <c r="L149" t="s">
        <v>642</v>
      </c>
      <c r="M149">
        <v>112892</v>
      </c>
      <c r="N149">
        <v>18062.72</v>
      </c>
      <c r="O149">
        <v>0</v>
      </c>
      <c r="P149">
        <v>130954.72</v>
      </c>
      <c r="Q149" t="s">
        <v>643</v>
      </c>
      <c r="R149" t="s">
        <v>644</v>
      </c>
      <c r="S149" t="s">
        <v>645</v>
      </c>
      <c r="T149" t="s">
        <v>75</v>
      </c>
      <c r="U149" t="s">
        <v>646</v>
      </c>
      <c r="V149" t="s">
        <v>40</v>
      </c>
      <c r="W149" t="s">
        <v>66</v>
      </c>
      <c r="Y149" t="s">
        <v>647</v>
      </c>
    </row>
    <row r="150" spans="1:25" x14ac:dyDescent="0.25">
      <c r="A150">
        <v>149</v>
      </c>
      <c r="B150" t="s">
        <v>273</v>
      </c>
      <c r="C150">
        <v>2026</v>
      </c>
      <c r="D150">
        <v>5</v>
      </c>
      <c r="E150" t="s">
        <v>312</v>
      </c>
      <c r="F150" t="s">
        <v>669</v>
      </c>
      <c r="G150" t="s">
        <v>962</v>
      </c>
      <c r="H150" t="s">
        <v>20</v>
      </c>
      <c r="I150" t="s">
        <v>639</v>
      </c>
      <c r="J150" t="s">
        <v>684</v>
      </c>
      <c r="K150" t="s">
        <v>963</v>
      </c>
      <c r="L150" t="s">
        <v>642</v>
      </c>
      <c r="M150">
        <v>120069</v>
      </c>
      <c r="N150">
        <v>19211.04</v>
      </c>
      <c r="O150">
        <v>0</v>
      </c>
      <c r="P150">
        <v>139280.04</v>
      </c>
      <c r="Q150" t="s">
        <v>643</v>
      </c>
      <c r="R150" t="s">
        <v>644</v>
      </c>
      <c r="S150" t="s">
        <v>652</v>
      </c>
      <c r="T150" t="s">
        <v>42</v>
      </c>
      <c r="U150" t="s">
        <v>646</v>
      </c>
      <c r="V150" t="s">
        <v>40</v>
      </c>
      <c r="W150" t="s">
        <v>27</v>
      </c>
      <c r="Y150" t="s">
        <v>647</v>
      </c>
    </row>
    <row r="151" spans="1:25" x14ac:dyDescent="0.25">
      <c r="A151">
        <v>150</v>
      </c>
      <c r="B151" t="s">
        <v>274</v>
      </c>
      <c r="C151">
        <v>2026</v>
      </c>
      <c r="D151">
        <v>5</v>
      </c>
      <c r="E151" t="s">
        <v>312</v>
      </c>
      <c r="F151" t="s">
        <v>695</v>
      </c>
      <c r="G151" t="s">
        <v>964</v>
      </c>
      <c r="H151" t="s">
        <v>20</v>
      </c>
      <c r="I151" t="s">
        <v>639</v>
      </c>
      <c r="J151" t="s">
        <v>726</v>
      </c>
      <c r="K151" t="s">
        <v>965</v>
      </c>
      <c r="L151" t="s">
        <v>642</v>
      </c>
      <c r="M151">
        <v>98557</v>
      </c>
      <c r="N151">
        <v>15769.12</v>
      </c>
      <c r="O151">
        <v>0</v>
      </c>
      <c r="P151">
        <v>114326.12</v>
      </c>
      <c r="Q151" t="s">
        <v>643</v>
      </c>
      <c r="R151" t="s">
        <v>644</v>
      </c>
      <c r="S151" t="s">
        <v>652</v>
      </c>
      <c r="T151" t="s">
        <v>29</v>
      </c>
      <c r="U151" t="s">
        <v>646</v>
      </c>
      <c r="V151" t="s">
        <v>40</v>
      </c>
      <c r="W151" t="s">
        <v>66</v>
      </c>
      <c r="Y151" t="s">
        <v>653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3"/>
  <sheetViews>
    <sheetView view="pageBreakPreview" zoomScale="30" zoomScaleNormal="100" zoomScaleSheetLayoutView="30" workbookViewId="0">
      <selection activeCell="L66" sqref="L66"/>
    </sheetView>
  </sheetViews>
  <sheetFormatPr defaultRowHeight="15" x14ac:dyDescent="0.25"/>
  <cols>
    <col min="2" max="2" width="12" customWidth="1"/>
    <col min="6" max="6" width="12.140625" customWidth="1"/>
    <col min="9" max="9" width="11.7109375" customWidth="1"/>
    <col min="10" max="10" width="10.5703125" customWidth="1"/>
    <col min="18" max="18" width="10.5703125" customWidth="1"/>
    <col min="19" max="19" width="9.28515625" customWidth="1"/>
    <col min="20" max="20" width="11.28515625" customWidth="1"/>
    <col min="22" max="22" width="10.5703125" customWidth="1"/>
    <col min="23" max="23" width="9.85546875" customWidth="1"/>
  </cols>
  <sheetData>
    <row r="1" spans="1:25" x14ac:dyDescent="0.25">
      <c r="A1" t="s">
        <v>0</v>
      </c>
      <c r="B1" t="s">
        <v>966</v>
      </c>
      <c r="C1" t="s">
        <v>11</v>
      </c>
      <c r="D1" t="s">
        <v>283</v>
      </c>
      <c r="E1" t="s">
        <v>967</v>
      </c>
      <c r="F1" t="s">
        <v>968</v>
      </c>
      <c r="G1" t="s">
        <v>2</v>
      </c>
      <c r="H1" t="s">
        <v>969</v>
      </c>
      <c r="I1" t="s">
        <v>970</v>
      </c>
      <c r="J1" t="s">
        <v>971</v>
      </c>
      <c r="K1" t="s">
        <v>972</v>
      </c>
      <c r="L1" t="s">
        <v>973</v>
      </c>
      <c r="M1" t="s">
        <v>974</v>
      </c>
      <c r="N1" t="s">
        <v>975</v>
      </c>
      <c r="O1" t="s">
        <v>279</v>
      </c>
      <c r="P1" t="s">
        <v>976</v>
      </c>
      <c r="Q1" t="s">
        <v>977</v>
      </c>
      <c r="R1" t="s">
        <v>978</v>
      </c>
      <c r="S1" t="s">
        <v>8</v>
      </c>
      <c r="T1" t="s">
        <v>7</v>
      </c>
      <c r="U1" t="s">
        <v>979</v>
      </c>
      <c r="V1" t="s">
        <v>980</v>
      </c>
      <c r="W1" t="s">
        <v>296</v>
      </c>
      <c r="X1" t="s">
        <v>981</v>
      </c>
      <c r="Y1" t="s">
        <v>24</v>
      </c>
    </row>
    <row r="2" spans="1:25" x14ac:dyDescent="0.25">
      <c r="A2">
        <v>1</v>
      </c>
      <c r="B2" t="s">
        <v>982</v>
      </c>
      <c r="C2" t="s">
        <v>30</v>
      </c>
      <c r="D2">
        <v>29</v>
      </c>
      <c r="E2" t="s">
        <v>983</v>
      </c>
      <c r="F2" t="s">
        <v>984</v>
      </c>
      <c r="G2">
        <v>4</v>
      </c>
      <c r="H2" t="s">
        <v>985</v>
      </c>
      <c r="I2" t="s">
        <v>986</v>
      </c>
      <c r="J2" t="s">
        <v>987</v>
      </c>
      <c r="K2">
        <v>2</v>
      </c>
      <c r="L2">
        <v>12.5</v>
      </c>
      <c r="M2">
        <v>15.8</v>
      </c>
      <c r="N2">
        <v>16.600000000000001</v>
      </c>
      <c r="O2">
        <v>14.966666666666669</v>
      </c>
      <c r="P2">
        <v>77</v>
      </c>
      <c r="Q2">
        <v>8</v>
      </c>
      <c r="R2" t="s">
        <v>1538</v>
      </c>
      <c r="S2" t="s">
        <v>27</v>
      </c>
      <c r="T2" t="s">
        <v>40</v>
      </c>
      <c r="U2" t="s">
        <v>647</v>
      </c>
      <c r="V2">
        <v>2022</v>
      </c>
      <c r="W2" t="s">
        <v>988</v>
      </c>
      <c r="X2" t="s">
        <v>989</v>
      </c>
      <c r="Y2" t="s">
        <v>310</v>
      </c>
    </row>
    <row r="3" spans="1:25" x14ac:dyDescent="0.25">
      <c r="A3">
        <v>144</v>
      </c>
      <c r="B3" t="s">
        <v>1164</v>
      </c>
      <c r="C3" t="s">
        <v>30</v>
      </c>
      <c r="D3">
        <v>22</v>
      </c>
      <c r="E3" t="s">
        <v>983</v>
      </c>
      <c r="F3" t="s">
        <v>984</v>
      </c>
      <c r="G3">
        <v>2</v>
      </c>
      <c r="H3" t="s">
        <v>985</v>
      </c>
      <c r="I3" t="s">
        <v>1041</v>
      </c>
      <c r="J3" t="s">
        <v>1015</v>
      </c>
      <c r="K3">
        <v>2</v>
      </c>
      <c r="L3">
        <v>17.100000000000001</v>
      </c>
      <c r="M3">
        <v>11.1</v>
      </c>
      <c r="N3">
        <v>16.100000000000001</v>
      </c>
      <c r="O3">
        <v>14.766666666666667</v>
      </c>
      <c r="P3">
        <v>82</v>
      </c>
      <c r="Q3">
        <v>7</v>
      </c>
      <c r="R3" t="s">
        <v>1538</v>
      </c>
      <c r="S3" t="s">
        <v>27</v>
      </c>
      <c r="T3" t="s">
        <v>40</v>
      </c>
      <c r="U3" t="s">
        <v>647</v>
      </c>
      <c r="V3">
        <v>2024</v>
      </c>
      <c r="W3" t="s">
        <v>994</v>
      </c>
      <c r="X3" t="s">
        <v>1002</v>
      </c>
      <c r="Y3" t="s">
        <v>310</v>
      </c>
    </row>
    <row r="4" spans="1:25" x14ac:dyDescent="0.25">
      <c r="A4">
        <v>141</v>
      </c>
      <c r="B4" t="s">
        <v>1161</v>
      </c>
      <c r="C4" t="s">
        <v>43</v>
      </c>
      <c r="D4">
        <v>35</v>
      </c>
      <c r="E4" t="s">
        <v>983</v>
      </c>
      <c r="F4" t="s">
        <v>984</v>
      </c>
      <c r="G4">
        <v>4</v>
      </c>
      <c r="H4" t="s">
        <v>1000</v>
      </c>
      <c r="I4" t="s">
        <v>1012</v>
      </c>
      <c r="J4" t="s">
        <v>987</v>
      </c>
      <c r="K4">
        <v>2</v>
      </c>
      <c r="L4">
        <v>9.1</v>
      </c>
      <c r="M4">
        <v>13.3</v>
      </c>
      <c r="N4">
        <v>12.9</v>
      </c>
      <c r="O4">
        <v>11.766666666666666</v>
      </c>
      <c r="P4">
        <v>90</v>
      </c>
      <c r="Q4">
        <v>4</v>
      </c>
      <c r="R4" t="s">
        <v>1538</v>
      </c>
      <c r="S4" t="s">
        <v>27</v>
      </c>
      <c r="T4" t="s">
        <v>49</v>
      </c>
      <c r="U4" t="s">
        <v>653</v>
      </c>
      <c r="V4">
        <v>2023</v>
      </c>
      <c r="W4" t="s">
        <v>994</v>
      </c>
      <c r="X4" t="s">
        <v>989</v>
      </c>
      <c r="Y4" t="s">
        <v>310</v>
      </c>
    </row>
    <row r="5" spans="1:25" x14ac:dyDescent="0.25">
      <c r="A5">
        <v>137</v>
      </c>
      <c r="B5" t="s">
        <v>1157</v>
      </c>
      <c r="C5" t="s">
        <v>30</v>
      </c>
      <c r="D5">
        <v>18</v>
      </c>
      <c r="E5" t="s">
        <v>983</v>
      </c>
      <c r="F5" t="s">
        <v>984</v>
      </c>
      <c r="G5">
        <v>2</v>
      </c>
      <c r="H5" t="s">
        <v>992</v>
      </c>
      <c r="I5" t="s">
        <v>1012</v>
      </c>
      <c r="J5" t="s">
        <v>1008</v>
      </c>
      <c r="K5">
        <v>2</v>
      </c>
      <c r="L5">
        <v>8.8000000000000007</v>
      </c>
      <c r="M5">
        <v>17.100000000000001</v>
      </c>
      <c r="N5">
        <v>18.5</v>
      </c>
      <c r="O5">
        <v>14.800000000000002</v>
      </c>
      <c r="P5">
        <v>90</v>
      </c>
      <c r="Q5">
        <v>7</v>
      </c>
      <c r="R5" t="s">
        <v>1538</v>
      </c>
      <c r="S5" t="s">
        <v>49</v>
      </c>
      <c r="T5" t="s">
        <v>40</v>
      </c>
      <c r="U5" t="s">
        <v>653</v>
      </c>
      <c r="V5">
        <v>2024</v>
      </c>
      <c r="W5" t="s">
        <v>988</v>
      </c>
      <c r="X5" t="s">
        <v>989</v>
      </c>
      <c r="Y5" t="s">
        <v>310</v>
      </c>
    </row>
    <row r="6" spans="1:25" x14ac:dyDescent="0.25">
      <c r="A6">
        <v>5</v>
      </c>
      <c r="B6" t="s">
        <v>1003</v>
      </c>
      <c r="C6" t="s">
        <v>30</v>
      </c>
      <c r="D6">
        <v>19</v>
      </c>
      <c r="E6" t="s">
        <v>983</v>
      </c>
      <c r="F6" t="s">
        <v>984</v>
      </c>
      <c r="G6">
        <v>1</v>
      </c>
      <c r="H6" t="s">
        <v>1000</v>
      </c>
      <c r="I6" t="s">
        <v>1004</v>
      </c>
      <c r="J6" t="s">
        <v>1005</v>
      </c>
      <c r="K6">
        <v>2</v>
      </c>
      <c r="L6">
        <v>12.3</v>
      </c>
      <c r="M6">
        <v>13.4</v>
      </c>
      <c r="N6">
        <v>18.2</v>
      </c>
      <c r="O6">
        <v>14.633333333333335</v>
      </c>
      <c r="P6">
        <v>98</v>
      </c>
      <c r="Q6">
        <v>7</v>
      </c>
      <c r="R6" t="s">
        <v>1538</v>
      </c>
      <c r="S6" t="s">
        <v>66</v>
      </c>
      <c r="T6" t="s">
        <v>40</v>
      </c>
      <c r="U6" t="s">
        <v>653</v>
      </c>
      <c r="V6">
        <v>2025</v>
      </c>
      <c r="W6" t="s">
        <v>988</v>
      </c>
      <c r="X6" t="s">
        <v>1002</v>
      </c>
      <c r="Y6" t="s">
        <v>310</v>
      </c>
    </row>
    <row r="7" spans="1:25" x14ac:dyDescent="0.25">
      <c r="A7">
        <v>135</v>
      </c>
      <c r="B7" t="s">
        <v>1155</v>
      </c>
      <c r="C7" t="s">
        <v>30</v>
      </c>
      <c r="D7">
        <v>20</v>
      </c>
      <c r="E7" t="s">
        <v>983</v>
      </c>
      <c r="F7" t="s">
        <v>984</v>
      </c>
      <c r="G7">
        <v>4</v>
      </c>
      <c r="H7" t="s">
        <v>1000</v>
      </c>
      <c r="I7" t="s">
        <v>1010</v>
      </c>
      <c r="J7" t="s">
        <v>1013</v>
      </c>
      <c r="K7">
        <v>1</v>
      </c>
      <c r="L7">
        <v>8.4</v>
      </c>
      <c r="M7">
        <v>13.7</v>
      </c>
      <c r="N7">
        <v>8.6999999999999993</v>
      </c>
      <c r="O7">
        <v>10.266666666666667</v>
      </c>
      <c r="P7">
        <v>80</v>
      </c>
      <c r="Q7">
        <v>6</v>
      </c>
      <c r="R7" t="s">
        <v>1538</v>
      </c>
      <c r="S7" t="s">
        <v>66</v>
      </c>
      <c r="T7" t="s">
        <v>49</v>
      </c>
      <c r="U7" t="s">
        <v>653</v>
      </c>
      <c r="V7">
        <v>2025</v>
      </c>
      <c r="W7" t="s">
        <v>988</v>
      </c>
      <c r="X7" t="s">
        <v>989</v>
      </c>
      <c r="Y7" t="s">
        <v>310</v>
      </c>
    </row>
    <row r="8" spans="1:25" x14ac:dyDescent="0.25">
      <c r="A8">
        <v>134</v>
      </c>
      <c r="B8" t="s">
        <v>1154</v>
      </c>
      <c r="C8" t="s">
        <v>43</v>
      </c>
      <c r="D8">
        <v>20</v>
      </c>
      <c r="E8" t="s">
        <v>983</v>
      </c>
      <c r="F8" t="s">
        <v>984</v>
      </c>
      <c r="G8">
        <v>1</v>
      </c>
      <c r="H8" t="s">
        <v>992</v>
      </c>
      <c r="I8" t="s">
        <v>1017</v>
      </c>
      <c r="J8" t="s">
        <v>1043</v>
      </c>
      <c r="K8">
        <v>2</v>
      </c>
      <c r="L8">
        <v>15.6</v>
      </c>
      <c r="M8">
        <v>11.2</v>
      </c>
      <c r="N8">
        <v>17.3</v>
      </c>
      <c r="O8">
        <v>14.699999999999998</v>
      </c>
      <c r="P8">
        <v>87</v>
      </c>
      <c r="Q8">
        <v>4</v>
      </c>
      <c r="R8" t="s">
        <v>1538</v>
      </c>
      <c r="S8" t="s">
        <v>66</v>
      </c>
      <c r="T8" t="s">
        <v>49</v>
      </c>
      <c r="U8" t="s">
        <v>653</v>
      </c>
      <c r="V8">
        <v>2022</v>
      </c>
      <c r="W8" t="s">
        <v>988</v>
      </c>
      <c r="X8" t="s">
        <v>1002</v>
      </c>
      <c r="Y8" t="s">
        <v>310</v>
      </c>
    </row>
    <row r="9" spans="1:25" x14ac:dyDescent="0.25">
      <c r="A9">
        <v>131</v>
      </c>
      <c r="B9" t="s">
        <v>1151</v>
      </c>
      <c r="C9" t="s">
        <v>43</v>
      </c>
      <c r="D9">
        <v>19</v>
      </c>
      <c r="E9" t="s">
        <v>983</v>
      </c>
      <c r="F9" t="s">
        <v>984</v>
      </c>
      <c r="G9">
        <v>4</v>
      </c>
      <c r="H9" t="s">
        <v>985</v>
      </c>
      <c r="I9" t="s">
        <v>1019</v>
      </c>
      <c r="J9" t="s">
        <v>993</v>
      </c>
      <c r="K9">
        <v>2</v>
      </c>
      <c r="L9">
        <v>13.8</v>
      </c>
      <c r="M9">
        <v>11.5</v>
      </c>
      <c r="N9">
        <v>12.8</v>
      </c>
      <c r="O9">
        <v>12.700000000000001</v>
      </c>
      <c r="P9">
        <v>66</v>
      </c>
      <c r="Q9">
        <v>4</v>
      </c>
      <c r="R9" t="s">
        <v>1538</v>
      </c>
      <c r="S9" t="s">
        <v>27</v>
      </c>
      <c r="T9" t="s">
        <v>27</v>
      </c>
      <c r="U9" t="s">
        <v>653</v>
      </c>
      <c r="V9">
        <v>2022</v>
      </c>
      <c r="W9" t="s">
        <v>988</v>
      </c>
      <c r="X9" t="s">
        <v>1002</v>
      </c>
      <c r="Y9" t="s">
        <v>310</v>
      </c>
    </row>
    <row r="10" spans="1:25" x14ac:dyDescent="0.25">
      <c r="A10">
        <v>9</v>
      </c>
      <c r="B10" t="s">
        <v>1014</v>
      </c>
      <c r="C10" t="s">
        <v>43</v>
      </c>
      <c r="D10">
        <v>23</v>
      </c>
      <c r="E10" t="s">
        <v>983</v>
      </c>
      <c r="F10" t="s">
        <v>984</v>
      </c>
      <c r="G10">
        <v>1</v>
      </c>
      <c r="H10" t="s">
        <v>1000</v>
      </c>
      <c r="I10" t="s">
        <v>1010</v>
      </c>
      <c r="J10" t="s">
        <v>1015</v>
      </c>
      <c r="K10">
        <v>2</v>
      </c>
      <c r="L10">
        <v>9.9</v>
      </c>
      <c r="M10">
        <v>17.899999999999999</v>
      </c>
      <c r="N10">
        <v>18.399999999999999</v>
      </c>
      <c r="O10">
        <v>15.399999999999999</v>
      </c>
      <c r="P10">
        <v>89</v>
      </c>
      <c r="Q10">
        <v>7</v>
      </c>
      <c r="R10" t="s">
        <v>1538</v>
      </c>
      <c r="S10" t="s">
        <v>49</v>
      </c>
      <c r="T10" t="s">
        <v>49</v>
      </c>
      <c r="U10" t="s">
        <v>653</v>
      </c>
      <c r="V10">
        <v>2024</v>
      </c>
      <c r="W10" t="s">
        <v>994</v>
      </c>
      <c r="X10" t="s">
        <v>1002</v>
      </c>
      <c r="Y10" t="s">
        <v>310</v>
      </c>
    </row>
    <row r="11" spans="1:25" x14ac:dyDescent="0.25">
      <c r="A11">
        <v>10</v>
      </c>
      <c r="B11" t="s">
        <v>1016</v>
      </c>
      <c r="C11" t="s">
        <v>43</v>
      </c>
      <c r="D11">
        <v>20</v>
      </c>
      <c r="E11" t="s">
        <v>983</v>
      </c>
      <c r="F11" t="s">
        <v>984</v>
      </c>
      <c r="G11">
        <v>2</v>
      </c>
      <c r="H11" t="s">
        <v>1000</v>
      </c>
      <c r="I11" t="s">
        <v>1017</v>
      </c>
      <c r="J11" t="s">
        <v>998</v>
      </c>
      <c r="K11">
        <v>1</v>
      </c>
      <c r="L11">
        <v>14.1</v>
      </c>
      <c r="M11">
        <v>13.8</v>
      </c>
      <c r="N11">
        <v>12.6</v>
      </c>
      <c r="O11">
        <v>13.5</v>
      </c>
      <c r="P11">
        <v>61</v>
      </c>
      <c r="Q11">
        <v>8</v>
      </c>
      <c r="R11" t="s">
        <v>1538</v>
      </c>
      <c r="S11" t="s">
        <v>49</v>
      </c>
      <c r="T11" t="s">
        <v>40</v>
      </c>
      <c r="U11" t="s">
        <v>653</v>
      </c>
      <c r="V11">
        <v>2024</v>
      </c>
      <c r="W11" t="s">
        <v>988</v>
      </c>
      <c r="X11" t="s">
        <v>989</v>
      </c>
      <c r="Y11" t="s">
        <v>310</v>
      </c>
    </row>
    <row r="12" spans="1:25" x14ac:dyDescent="0.25">
      <c r="A12">
        <v>11</v>
      </c>
      <c r="B12" t="s">
        <v>1018</v>
      </c>
      <c r="C12" t="s">
        <v>43</v>
      </c>
      <c r="D12">
        <v>26</v>
      </c>
      <c r="E12" t="s">
        <v>983</v>
      </c>
      <c r="F12" t="s">
        <v>984</v>
      </c>
      <c r="G12">
        <v>3</v>
      </c>
      <c r="H12" t="s">
        <v>992</v>
      </c>
      <c r="I12" t="s">
        <v>1019</v>
      </c>
      <c r="J12" t="s">
        <v>1020</v>
      </c>
      <c r="K12">
        <v>2</v>
      </c>
      <c r="L12">
        <v>14.8</v>
      </c>
      <c r="M12">
        <v>14.4</v>
      </c>
      <c r="N12">
        <v>16.8</v>
      </c>
      <c r="O12">
        <v>15.333333333333334</v>
      </c>
      <c r="P12">
        <v>78</v>
      </c>
      <c r="Q12">
        <v>8</v>
      </c>
      <c r="R12" t="s">
        <v>1538</v>
      </c>
      <c r="S12" t="s">
        <v>66</v>
      </c>
      <c r="T12" t="s">
        <v>27</v>
      </c>
      <c r="U12" t="s">
        <v>653</v>
      </c>
      <c r="V12">
        <v>2024</v>
      </c>
      <c r="W12" t="s">
        <v>988</v>
      </c>
      <c r="X12" t="s">
        <v>989</v>
      </c>
      <c r="Y12" t="s">
        <v>310</v>
      </c>
    </row>
    <row r="13" spans="1:25" x14ac:dyDescent="0.25">
      <c r="A13">
        <v>130</v>
      </c>
      <c r="B13" t="s">
        <v>1150</v>
      </c>
      <c r="C13" t="s">
        <v>43</v>
      </c>
      <c r="D13">
        <v>25</v>
      </c>
      <c r="E13" t="s">
        <v>983</v>
      </c>
      <c r="F13" t="s">
        <v>984</v>
      </c>
      <c r="G13">
        <v>4</v>
      </c>
      <c r="H13" t="s">
        <v>992</v>
      </c>
      <c r="I13" t="s">
        <v>1010</v>
      </c>
      <c r="J13" t="s">
        <v>987</v>
      </c>
      <c r="K13">
        <v>2</v>
      </c>
      <c r="L13">
        <v>9.6999999999999993</v>
      </c>
      <c r="M13">
        <v>16.399999999999999</v>
      </c>
      <c r="N13">
        <v>14.8</v>
      </c>
      <c r="O13">
        <v>13.633333333333333</v>
      </c>
      <c r="P13">
        <v>63</v>
      </c>
      <c r="Q13">
        <v>6</v>
      </c>
      <c r="R13" t="s">
        <v>1538</v>
      </c>
      <c r="S13" t="s">
        <v>27</v>
      </c>
      <c r="T13" t="s">
        <v>40</v>
      </c>
      <c r="U13" t="s">
        <v>647</v>
      </c>
      <c r="V13">
        <v>2026</v>
      </c>
      <c r="W13" t="s">
        <v>994</v>
      </c>
      <c r="X13" t="s">
        <v>1002</v>
      </c>
      <c r="Y13" t="s">
        <v>310</v>
      </c>
    </row>
    <row r="14" spans="1:25" x14ac:dyDescent="0.25">
      <c r="A14">
        <v>127</v>
      </c>
      <c r="B14" t="s">
        <v>1147</v>
      </c>
      <c r="C14" t="s">
        <v>30</v>
      </c>
      <c r="D14">
        <v>18</v>
      </c>
      <c r="E14" t="s">
        <v>983</v>
      </c>
      <c r="F14" t="s">
        <v>984</v>
      </c>
      <c r="G14">
        <v>1</v>
      </c>
      <c r="H14" t="s">
        <v>1025</v>
      </c>
      <c r="I14" t="s">
        <v>1004</v>
      </c>
      <c r="J14" t="s">
        <v>1020</v>
      </c>
      <c r="K14">
        <v>1</v>
      </c>
      <c r="L14">
        <v>8.6</v>
      </c>
      <c r="M14">
        <v>12.9</v>
      </c>
      <c r="N14">
        <v>18.3</v>
      </c>
      <c r="O14">
        <v>13.266666666666666</v>
      </c>
      <c r="P14">
        <v>90</v>
      </c>
      <c r="Q14">
        <v>4</v>
      </c>
      <c r="R14" t="s">
        <v>1538</v>
      </c>
      <c r="S14" t="s">
        <v>27</v>
      </c>
      <c r="T14" t="s">
        <v>49</v>
      </c>
      <c r="U14" t="s">
        <v>653</v>
      </c>
      <c r="V14">
        <v>2022</v>
      </c>
      <c r="W14" t="s">
        <v>994</v>
      </c>
      <c r="X14" t="s">
        <v>1002</v>
      </c>
      <c r="Y14" t="s">
        <v>310</v>
      </c>
    </row>
    <row r="15" spans="1:25" x14ac:dyDescent="0.25">
      <c r="A15">
        <v>14</v>
      </c>
      <c r="B15" t="s">
        <v>1024</v>
      </c>
      <c r="C15" t="s">
        <v>30</v>
      </c>
      <c r="D15">
        <v>22</v>
      </c>
      <c r="E15" t="s">
        <v>983</v>
      </c>
      <c r="F15" t="s">
        <v>984</v>
      </c>
      <c r="G15">
        <v>1</v>
      </c>
      <c r="H15" t="s">
        <v>1025</v>
      </c>
      <c r="I15" t="s">
        <v>986</v>
      </c>
      <c r="J15" t="s">
        <v>1015</v>
      </c>
      <c r="K15">
        <v>1</v>
      </c>
      <c r="L15">
        <v>9.5</v>
      </c>
      <c r="M15">
        <v>10.9</v>
      </c>
      <c r="N15">
        <v>12.9</v>
      </c>
      <c r="O15">
        <v>11.1</v>
      </c>
      <c r="P15">
        <v>85</v>
      </c>
      <c r="Q15">
        <v>4</v>
      </c>
      <c r="R15" t="s">
        <v>1538</v>
      </c>
      <c r="S15" t="s">
        <v>66</v>
      </c>
      <c r="T15" t="s">
        <v>27</v>
      </c>
      <c r="U15" t="s">
        <v>653</v>
      </c>
      <c r="V15">
        <v>2023</v>
      </c>
      <c r="W15" t="s">
        <v>994</v>
      </c>
      <c r="X15" t="s">
        <v>989</v>
      </c>
      <c r="Y15" t="s">
        <v>310</v>
      </c>
    </row>
    <row r="16" spans="1:25" x14ac:dyDescent="0.25">
      <c r="A16">
        <v>120</v>
      </c>
      <c r="B16" t="s">
        <v>1140</v>
      </c>
      <c r="C16" t="s">
        <v>43</v>
      </c>
      <c r="D16">
        <v>24</v>
      </c>
      <c r="E16" t="s">
        <v>983</v>
      </c>
      <c r="F16" t="s">
        <v>984</v>
      </c>
      <c r="G16">
        <v>4</v>
      </c>
      <c r="H16" t="s">
        <v>985</v>
      </c>
      <c r="I16" t="s">
        <v>1048</v>
      </c>
      <c r="J16" t="s">
        <v>1015</v>
      </c>
      <c r="K16">
        <v>2</v>
      </c>
      <c r="L16">
        <v>17.899999999999999</v>
      </c>
      <c r="M16">
        <v>11.9</v>
      </c>
      <c r="N16">
        <v>10.3</v>
      </c>
      <c r="O16">
        <v>13.366666666666665</v>
      </c>
      <c r="P16">
        <v>76</v>
      </c>
      <c r="Q16">
        <v>8</v>
      </c>
      <c r="R16" t="s">
        <v>1538</v>
      </c>
      <c r="S16" t="s">
        <v>49</v>
      </c>
      <c r="T16" t="s">
        <v>40</v>
      </c>
      <c r="U16" t="s">
        <v>653</v>
      </c>
      <c r="V16">
        <v>2026</v>
      </c>
      <c r="W16" t="s">
        <v>994</v>
      </c>
      <c r="X16" t="s">
        <v>1002</v>
      </c>
      <c r="Y16" t="s">
        <v>310</v>
      </c>
    </row>
    <row r="17" spans="1:25" x14ac:dyDescent="0.25">
      <c r="A17">
        <v>118</v>
      </c>
      <c r="B17" t="s">
        <v>1138</v>
      </c>
      <c r="C17" t="s">
        <v>30</v>
      </c>
      <c r="D17">
        <v>29</v>
      </c>
      <c r="E17" t="s">
        <v>983</v>
      </c>
      <c r="F17" t="s">
        <v>984</v>
      </c>
      <c r="G17">
        <v>2</v>
      </c>
      <c r="H17" t="s">
        <v>1025</v>
      </c>
      <c r="I17" t="s">
        <v>997</v>
      </c>
      <c r="J17" t="s">
        <v>998</v>
      </c>
      <c r="K17">
        <v>2</v>
      </c>
      <c r="L17">
        <v>8.5</v>
      </c>
      <c r="M17">
        <v>11.8</v>
      </c>
      <c r="N17">
        <v>8.4</v>
      </c>
      <c r="O17">
        <v>9.5666666666666682</v>
      </c>
      <c r="P17">
        <v>70</v>
      </c>
      <c r="Q17">
        <v>5</v>
      </c>
      <c r="R17" t="s">
        <v>1539</v>
      </c>
      <c r="S17" t="s">
        <v>49</v>
      </c>
      <c r="T17" t="s">
        <v>40</v>
      </c>
      <c r="U17" t="s">
        <v>647</v>
      </c>
      <c r="V17">
        <v>2022</v>
      </c>
      <c r="W17" t="s">
        <v>988</v>
      </c>
      <c r="X17" t="s">
        <v>1002</v>
      </c>
      <c r="Y17" t="s">
        <v>310</v>
      </c>
    </row>
    <row r="18" spans="1:25" x14ac:dyDescent="0.25">
      <c r="A18">
        <v>114</v>
      </c>
      <c r="B18" t="s">
        <v>1134</v>
      </c>
      <c r="C18" t="s">
        <v>30</v>
      </c>
      <c r="D18">
        <v>22</v>
      </c>
      <c r="E18" t="s">
        <v>983</v>
      </c>
      <c r="F18" t="s">
        <v>984</v>
      </c>
      <c r="G18">
        <v>4</v>
      </c>
      <c r="H18" t="s">
        <v>1025</v>
      </c>
      <c r="I18" t="s">
        <v>1017</v>
      </c>
      <c r="J18" t="s">
        <v>1034</v>
      </c>
      <c r="K18">
        <v>2</v>
      </c>
      <c r="L18">
        <v>16.5</v>
      </c>
      <c r="M18">
        <v>9</v>
      </c>
      <c r="N18">
        <v>11.1</v>
      </c>
      <c r="O18">
        <v>12.200000000000001</v>
      </c>
      <c r="P18">
        <v>77</v>
      </c>
      <c r="Q18">
        <v>5</v>
      </c>
      <c r="R18" t="s">
        <v>1538</v>
      </c>
      <c r="S18" t="s">
        <v>66</v>
      </c>
      <c r="T18" t="s">
        <v>40</v>
      </c>
      <c r="U18" t="s">
        <v>653</v>
      </c>
      <c r="V18">
        <v>2024</v>
      </c>
      <c r="W18" t="s">
        <v>994</v>
      </c>
      <c r="X18" t="s">
        <v>1002</v>
      </c>
      <c r="Y18" t="s">
        <v>310</v>
      </c>
    </row>
    <row r="19" spans="1:25" x14ac:dyDescent="0.25">
      <c r="A19">
        <v>112</v>
      </c>
      <c r="B19" t="s">
        <v>1132</v>
      </c>
      <c r="C19" t="s">
        <v>43</v>
      </c>
      <c r="D19">
        <v>25</v>
      </c>
      <c r="E19" t="s">
        <v>983</v>
      </c>
      <c r="F19" t="s">
        <v>984</v>
      </c>
      <c r="G19">
        <v>4</v>
      </c>
      <c r="H19" t="s">
        <v>985</v>
      </c>
      <c r="I19" t="s">
        <v>1010</v>
      </c>
      <c r="J19" t="s">
        <v>1020</v>
      </c>
      <c r="K19">
        <v>2</v>
      </c>
      <c r="L19">
        <v>8.5</v>
      </c>
      <c r="M19">
        <v>12.5</v>
      </c>
      <c r="N19">
        <v>11.4</v>
      </c>
      <c r="O19">
        <v>10.799999999999999</v>
      </c>
      <c r="P19">
        <v>80</v>
      </c>
      <c r="Q19">
        <v>5</v>
      </c>
      <c r="R19" t="s">
        <v>1538</v>
      </c>
      <c r="S19" t="s">
        <v>66</v>
      </c>
      <c r="T19" t="s">
        <v>49</v>
      </c>
      <c r="U19" t="s">
        <v>653</v>
      </c>
      <c r="V19">
        <v>2023</v>
      </c>
      <c r="W19" t="s">
        <v>994</v>
      </c>
      <c r="X19" t="s">
        <v>1002</v>
      </c>
      <c r="Y19" t="s">
        <v>310</v>
      </c>
    </row>
    <row r="20" spans="1:25" x14ac:dyDescent="0.25">
      <c r="A20">
        <v>19</v>
      </c>
      <c r="B20" t="s">
        <v>1031</v>
      </c>
      <c r="C20" t="s">
        <v>43</v>
      </c>
      <c r="D20">
        <v>28</v>
      </c>
      <c r="E20" t="s">
        <v>983</v>
      </c>
      <c r="F20" t="s">
        <v>984</v>
      </c>
      <c r="G20">
        <v>3</v>
      </c>
      <c r="H20" t="s">
        <v>1000</v>
      </c>
      <c r="I20" t="s">
        <v>1012</v>
      </c>
      <c r="J20" t="s">
        <v>1032</v>
      </c>
      <c r="K20">
        <v>1</v>
      </c>
      <c r="L20">
        <v>9.6</v>
      </c>
      <c r="M20">
        <v>8</v>
      </c>
      <c r="N20">
        <v>10.5</v>
      </c>
      <c r="O20">
        <v>9.3666666666666671</v>
      </c>
      <c r="P20">
        <v>78</v>
      </c>
      <c r="Q20">
        <v>6</v>
      </c>
      <c r="R20" t="s">
        <v>1539</v>
      </c>
      <c r="S20" t="s">
        <v>66</v>
      </c>
      <c r="T20" t="s">
        <v>27</v>
      </c>
      <c r="U20" t="s">
        <v>647</v>
      </c>
      <c r="V20">
        <v>2026</v>
      </c>
      <c r="W20" t="s">
        <v>988</v>
      </c>
      <c r="X20" t="s">
        <v>989</v>
      </c>
      <c r="Y20" t="s">
        <v>310</v>
      </c>
    </row>
    <row r="21" spans="1:25" x14ac:dyDescent="0.25">
      <c r="A21">
        <v>111</v>
      </c>
      <c r="B21" t="s">
        <v>1131</v>
      </c>
      <c r="C21" t="s">
        <v>30</v>
      </c>
      <c r="D21">
        <v>24</v>
      </c>
      <c r="E21" t="s">
        <v>983</v>
      </c>
      <c r="F21" t="s">
        <v>984</v>
      </c>
      <c r="G21">
        <v>4</v>
      </c>
      <c r="H21" t="s">
        <v>1025</v>
      </c>
      <c r="I21" t="s">
        <v>1022</v>
      </c>
      <c r="J21" t="s">
        <v>1013</v>
      </c>
      <c r="K21">
        <v>1</v>
      </c>
      <c r="L21">
        <v>17.5</v>
      </c>
      <c r="M21">
        <v>16.5</v>
      </c>
      <c r="N21">
        <v>12.3</v>
      </c>
      <c r="O21">
        <v>15.433333333333332</v>
      </c>
      <c r="P21">
        <v>66</v>
      </c>
      <c r="Q21">
        <v>5</v>
      </c>
      <c r="R21" t="s">
        <v>1538</v>
      </c>
      <c r="S21" t="s">
        <v>66</v>
      </c>
      <c r="T21" t="s">
        <v>40</v>
      </c>
      <c r="U21" t="s">
        <v>653</v>
      </c>
      <c r="V21">
        <v>2025</v>
      </c>
      <c r="W21" t="s">
        <v>988</v>
      </c>
      <c r="X21" t="s">
        <v>989</v>
      </c>
      <c r="Y21" t="s">
        <v>310</v>
      </c>
    </row>
    <row r="22" spans="1:25" x14ac:dyDescent="0.25">
      <c r="A22">
        <v>110</v>
      </c>
      <c r="B22" t="s">
        <v>1130</v>
      </c>
      <c r="C22" t="s">
        <v>30</v>
      </c>
      <c r="D22">
        <v>27</v>
      </c>
      <c r="E22" t="s">
        <v>983</v>
      </c>
      <c r="F22" t="s">
        <v>984</v>
      </c>
      <c r="G22">
        <v>1</v>
      </c>
      <c r="H22" t="s">
        <v>992</v>
      </c>
      <c r="I22" t="s">
        <v>1007</v>
      </c>
      <c r="J22" t="s">
        <v>1001</v>
      </c>
      <c r="K22">
        <v>2</v>
      </c>
      <c r="L22">
        <v>12.3</v>
      </c>
      <c r="M22">
        <v>10.6</v>
      </c>
      <c r="N22">
        <v>9.1</v>
      </c>
      <c r="O22">
        <v>10.666666666666666</v>
      </c>
      <c r="P22">
        <v>73</v>
      </c>
      <c r="Q22">
        <v>4</v>
      </c>
      <c r="R22" t="s">
        <v>1538</v>
      </c>
      <c r="S22" t="s">
        <v>66</v>
      </c>
      <c r="T22" t="s">
        <v>27</v>
      </c>
      <c r="U22" t="s">
        <v>647</v>
      </c>
      <c r="V22">
        <v>2023</v>
      </c>
      <c r="W22" t="s">
        <v>988</v>
      </c>
      <c r="X22" t="s">
        <v>989</v>
      </c>
      <c r="Y22" t="s">
        <v>310</v>
      </c>
    </row>
    <row r="23" spans="1:25" x14ac:dyDescent="0.25">
      <c r="A23">
        <v>108</v>
      </c>
      <c r="B23" t="s">
        <v>1128</v>
      </c>
      <c r="C23" t="s">
        <v>43</v>
      </c>
      <c r="D23">
        <v>26</v>
      </c>
      <c r="E23" t="s">
        <v>983</v>
      </c>
      <c r="F23" t="s">
        <v>984</v>
      </c>
      <c r="G23">
        <v>1</v>
      </c>
      <c r="H23" t="s">
        <v>985</v>
      </c>
      <c r="I23" t="s">
        <v>1010</v>
      </c>
      <c r="J23" t="s">
        <v>1032</v>
      </c>
      <c r="K23">
        <v>1</v>
      </c>
      <c r="L23">
        <v>14.7</v>
      </c>
      <c r="M23">
        <v>13.3</v>
      </c>
      <c r="N23">
        <v>9.8000000000000007</v>
      </c>
      <c r="O23">
        <v>12.6</v>
      </c>
      <c r="P23">
        <v>89</v>
      </c>
      <c r="Q23">
        <v>8</v>
      </c>
      <c r="R23" t="s">
        <v>1538</v>
      </c>
      <c r="S23" t="s">
        <v>27</v>
      </c>
      <c r="T23" t="s">
        <v>27</v>
      </c>
      <c r="U23" t="s">
        <v>647</v>
      </c>
      <c r="V23">
        <v>2022</v>
      </c>
      <c r="W23" t="s">
        <v>988</v>
      </c>
      <c r="X23" t="s">
        <v>989</v>
      </c>
      <c r="Y23" t="s">
        <v>310</v>
      </c>
    </row>
    <row r="24" spans="1:25" x14ac:dyDescent="0.25">
      <c r="A24">
        <v>104</v>
      </c>
      <c r="B24" t="s">
        <v>1124</v>
      </c>
      <c r="C24" t="s">
        <v>43</v>
      </c>
      <c r="D24">
        <v>23</v>
      </c>
      <c r="E24" t="s">
        <v>983</v>
      </c>
      <c r="F24" t="s">
        <v>984</v>
      </c>
      <c r="G24">
        <v>3</v>
      </c>
      <c r="H24" t="s">
        <v>1025</v>
      </c>
      <c r="I24" t="s">
        <v>1048</v>
      </c>
      <c r="J24" t="s">
        <v>1034</v>
      </c>
      <c r="K24">
        <v>1</v>
      </c>
      <c r="L24">
        <v>10</v>
      </c>
      <c r="M24">
        <v>13.5</v>
      </c>
      <c r="N24">
        <v>14.2</v>
      </c>
      <c r="O24">
        <v>12.566666666666668</v>
      </c>
      <c r="P24">
        <v>66</v>
      </c>
      <c r="Q24">
        <v>5</v>
      </c>
      <c r="R24" t="s">
        <v>1538</v>
      </c>
      <c r="S24" t="s">
        <v>49</v>
      </c>
      <c r="T24" t="s">
        <v>49</v>
      </c>
      <c r="U24" t="s">
        <v>653</v>
      </c>
      <c r="V24">
        <v>2025</v>
      </c>
      <c r="W24" t="s">
        <v>988</v>
      </c>
      <c r="X24" t="s">
        <v>1002</v>
      </c>
      <c r="Y24" t="s">
        <v>310</v>
      </c>
    </row>
    <row r="25" spans="1:25" x14ac:dyDescent="0.25">
      <c r="A25">
        <v>103</v>
      </c>
      <c r="B25" t="s">
        <v>1123</v>
      </c>
      <c r="C25" t="s">
        <v>30</v>
      </c>
      <c r="D25">
        <v>34</v>
      </c>
      <c r="E25" t="s">
        <v>983</v>
      </c>
      <c r="F25" t="s">
        <v>984</v>
      </c>
      <c r="G25">
        <v>1</v>
      </c>
      <c r="H25" t="s">
        <v>985</v>
      </c>
      <c r="I25" t="s">
        <v>1022</v>
      </c>
      <c r="J25" t="s">
        <v>998</v>
      </c>
      <c r="K25">
        <v>1</v>
      </c>
      <c r="L25">
        <v>15.6</v>
      </c>
      <c r="M25">
        <v>11.6</v>
      </c>
      <c r="N25">
        <v>19.600000000000001</v>
      </c>
      <c r="O25">
        <v>15.6</v>
      </c>
      <c r="P25">
        <v>98</v>
      </c>
      <c r="Q25">
        <v>4</v>
      </c>
      <c r="R25" t="s">
        <v>1538</v>
      </c>
      <c r="S25" t="s">
        <v>49</v>
      </c>
      <c r="T25" t="s">
        <v>40</v>
      </c>
      <c r="U25" t="s">
        <v>653</v>
      </c>
      <c r="V25">
        <v>2024</v>
      </c>
      <c r="W25" t="s">
        <v>988</v>
      </c>
      <c r="X25" t="s">
        <v>989</v>
      </c>
      <c r="Y25" t="s">
        <v>310</v>
      </c>
    </row>
    <row r="26" spans="1:25" x14ac:dyDescent="0.25">
      <c r="A26">
        <v>89</v>
      </c>
      <c r="B26" t="s">
        <v>1109</v>
      </c>
      <c r="C26" t="s">
        <v>30</v>
      </c>
      <c r="D26">
        <v>33</v>
      </c>
      <c r="E26" t="s">
        <v>983</v>
      </c>
      <c r="F26" t="s">
        <v>984</v>
      </c>
      <c r="G26">
        <v>2</v>
      </c>
      <c r="H26" t="s">
        <v>1025</v>
      </c>
      <c r="I26" t="s">
        <v>1010</v>
      </c>
      <c r="J26" t="s">
        <v>1034</v>
      </c>
      <c r="K26">
        <v>2</v>
      </c>
      <c r="L26">
        <v>15.3</v>
      </c>
      <c r="M26">
        <v>14</v>
      </c>
      <c r="N26">
        <v>12.2</v>
      </c>
      <c r="O26">
        <v>13.833333333333334</v>
      </c>
      <c r="P26">
        <v>66</v>
      </c>
      <c r="Q26">
        <v>6</v>
      </c>
      <c r="R26" t="s">
        <v>1538</v>
      </c>
      <c r="S26" t="s">
        <v>27</v>
      </c>
      <c r="T26" t="s">
        <v>40</v>
      </c>
      <c r="U26" t="s">
        <v>647</v>
      </c>
      <c r="V26">
        <v>2024</v>
      </c>
      <c r="W26" t="s">
        <v>988</v>
      </c>
      <c r="X26" t="s">
        <v>989</v>
      </c>
      <c r="Y26" t="s">
        <v>310</v>
      </c>
    </row>
    <row r="27" spans="1:25" x14ac:dyDescent="0.25">
      <c r="A27">
        <v>26</v>
      </c>
      <c r="B27" t="s">
        <v>1040</v>
      </c>
      <c r="C27" t="s">
        <v>30</v>
      </c>
      <c r="D27">
        <v>30</v>
      </c>
      <c r="E27" t="s">
        <v>983</v>
      </c>
      <c r="F27" t="s">
        <v>984</v>
      </c>
      <c r="G27">
        <v>1</v>
      </c>
      <c r="H27" t="s">
        <v>985</v>
      </c>
      <c r="I27" t="s">
        <v>1041</v>
      </c>
      <c r="J27" t="s">
        <v>1005</v>
      </c>
      <c r="K27">
        <v>1</v>
      </c>
      <c r="L27">
        <v>8.3000000000000007</v>
      </c>
      <c r="M27">
        <v>16.600000000000001</v>
      </c>
      <c r="N27">
        <v>14.1</v>
      </c>
      <c r="O27">
        <v>13</v>
      </c>
      <c r="P27">
        <v>81</v>
      </c>
      <c r="Q27">
        <v>5</v>
      </c>
      <c r="R27" t="s">
        <v>1538</v>
      </c>
      <c r="S27" t="s">
        <v>66</v>
      </c>
      <c r="T27" t="s">
        <v>27</v>
      </c>
      <c r="U27" t="s">
        <v>653</v>
      </c>
      <c r="V27">
        <v>2024</v>
      </c>
      <c r="W27" t="s">
        <v>994</v>
      </c>
      <c r="X27" t="s">
        <v>989</v>
      </c>
      <c r="Y27" t="s">
        <v>310</v>
      </c>
    </row>
    <row r="28" spans="1:25" x14ac:dyDescent="0.25">
      <c r="A28">
        <v>88</v>
      </c>
      <c r="B28" t="s">
        <v>1108</v>
      </c>
      <c r="C28" t="s">
        <v>43</v>
      </c>
      <c r="D28">
        <v>24</v>
      </c>
      <c r="E28" t="s">
        <v>983</v>
      </c>
      <c r="F28" t="s">
        <v>984</v>
      </c>
      <c r="G28">
        <v>4</v>
      </c>
      <c r="H28" t="s">
        <v>992</v>
      </c>
      <c r="I28" t="s">
        <v>1012</v>
      </c>
      <c r="J28" t="s">
        <v>987</v>
      </c>
      <c r="K28">
        <v>2</v>
      </c>
      <c r="L28">
        <v>10.1</v>
      </c>
      <c r="M28">
        <v>15.7</v>
      </c>
      <c r="N28">
        <v>17.399999999999999</v>
      </c>
      <c r="O28">
        <v>14.399999999999999</v>
      </c>
      <c r="P28">
        <v>78</v>
      </c>
      <c r="Q28">
        <v>5</v>
      </c>
      <c r="R28" t="s">
        <v>1538</v>
      </c>
      <c r="S28" t="s">
        <v>66</v>
      </c>
      <c r="T28" t="s">
        <v>49</v>
      </c>
      <c r="U28" t="s">
        <v>653</v>
      </c>
      <c r="V28">
        <v>2022</v>
      </c>
      <c r="W28" t="s">
        <v>994</v>
      </c>
      <c r="X28" t="s">
        <v>989</v>
      </c>
      <c r="Y28" t="s">
        <v>310</v>
      </c>
    </row>
    <row r="29" spans="1:25" x14ac:dyDescent="0.25">
      <c r="A29">
        <v>86</v>
      </c>
      <c r="B29" t="s">
        <v>1106</v>
      </c>
      <c r="C29" t="s">
        <v>30</v>
      </c>
      <c r="D29">
        <v>28</v>
      </c>
      <c r="E29" t="s">
        <v>983</v>
      </c>
      <c r="F29" t="s">
        <v>984</v>
      </c>
      <c r="G29">
        <v>1</v>
      </c>
      <c r="H29" t="s">
        <v>985</v>
      </c>
      <c r="I29" t="s">
        <v>1054</v>
      </c>
      <c r="J29" t="s">
        <v>1001</v>
      </c>
      <c r="K29">
        <v>1</v>
      </c>
      <c r="L29">
        <v>15.9</v>
      </c>
      <c r="M29">
        <v>15.4</v>
      </c>
      <c r="N29">
        <v>16.600000000000001</v>
      </c>
      <c r="O29">
        <v>15.966666666666669</v>
      </c>
      <c r="P29">
        <v>89</v>
      </c>
      <c r="Q29">
        <v>5</v>
      </c>
      <c r="R29" t="s">
        <v>1538</v>
      </c>
      <c r="S29" t="s">
        <v>49</v>
      </c>
      <c r="T29" t="s">
        <v>49</v>
      </c>
      <c r="U29" t="s">
        <v>647</v>
      </c>
      <c r="V29">
        <v>2025</v>
      </c>
      <c r="W29" t="s">
        <v>988</v>
      </c>
      <c r="X29" t="s">
        <v>1002</v>
      </c>
      <c r="Y29" t="s">
        <v>310</v>
      </c>
    </row>
    <row r="30" spans="1:25" x14ac:dyDescent="0.25">
      <c r="A30">
        <v>83</v>
      </c>
      <c r="B30" t="s">
        <v>1103</v>
      </c>
      <c r="C30" t="s">
        <v>30</v>
      </c>
      <c r="D30">
        <v>34</v>
      </c>
      <c r="E30" t="s">
        <v>983</v>
      </c>
      <c r="F30" t="s">
        <v>984</v>
      </c>
      <c r="G30">
        <v>2</v>
      </c>
      <c r="H30" t="s">
        <v>1000</v>
      </c>
      <c r="I30" t="s">
        <v>1010</v>
      </c>
      <c r="J30" t="s">
        <v>987</v>
      </c>
      <c r="K30">
        <v>1</v>
      </c>
      <c r="L30">
        <v>8.1</v>
      </c>
      <c r="M30">
        <v>14.6</v>
      </c>
      <c r="N30">
        <v>10.1</v>
      </c>
      <c r="O30">
        <v>10.933333333333332</v>
      </c>
      <c r="P30">
        <v>76</v>
      </c>
      <c r="Q30">
        <v>8</v>
      </c>
      <c r="R30" t="s">
        <v>1538</v>
      </c>
      <c r="S30" t="s">
        <v>66</v>
      </c>
      <c r="T30" t="s">
        <v>49</v>
      </c>
      <c r="U30" t="s">
        <v>653</v>
      </c>
      <c r="V30">
        <v>2024</v>
      </c>
      <c r="W30" t="s">
        <v>994</v>
      </c>
      <c r="X30" t="s">
        <v>989</v>
      </c>
      <c r="Y30" t="s">
        <v>310</v>
      </c>
    </row>
    <row r="31" spans="1:25" x14ac:dyDescent="0.25">
      <c r="A31">
        <v>81</v>
      </c>
      <c r="B31" t="s">
        <v>1101</v>
      </c>
      <c r="C31" t="s">
        <v>30</v>
      </c>
      <c r="D31">
        <v>33</v>
      </c>
      <c r="E31" t="s">
        <v>983</v>
      </c>
      <c r="F31" t="s">
        <v>984</v>
      </c>
      <c r="G31">
        <v>4</v>
      </c>
      <c r="H31" t="s">
        <v>1000</v>
      </c>
      <c r="I31" t="s">
        <v>1017</v>
      </c>
      <c r="J31" t="s">
        <v>1001</v>
      </c>
      <c r="K31">
        <v>1</v>
      </c>
      <c r="L31">
        <v>15.3</v>
      </c>
      <c r="M31">
        <v>17</v>
      </c>
      <c r="N31">
        <v>15.5</v>
      </c>
      <c r="O31">
        <v>15.933333333333332</v>
      </c>
      <c r="P31">
        <v>78</v>
      </c>
      <c r="Q31">
        <v>8</v>
      </c>
      <c r="R31" t="s">
        <v>1538</v>
      </c>
      <c r="S31" t="s">
        <v>27</v>
      </c>
      <c r="T31" t="s">
        <v>40</v>
      </c>
      <c r="U31" t="s">
        <v>653</v>
      </c>
      <c r="V31">
        <v>2022</v>
      </c>
      <c r="W31" t="s">
        <v>994</v>
      </c>
      <c r="X31" t="s">
        <v>989</v>
      </c>
      <c r="Y31" t="s">
        <v>310</v>
      </c>
    </row>
    <row r="32" spans="1:25" x14ac:dyDescent="0.25">
      <c r="A32">
        <v>80</v>
      </c>
      <c r="B32" t="s">
        <v>1100</v>
      </c>
      <c r="C32" t="s">
        <v>43</v>
      </c>
      <c r="D32">
        <v>35</v>
      </c>
      <c r="E32" t="s">
        <v>983</v>
      </c>
      <c r="F32" t="s">
        <v>984</v>
      </c>
      <c r="G32">
        <v>2</v>
      </c>
      <c r="H32" t="s">
        <v>992</v>
      </c>
      <c r="I32" t="s">
        <v>1022</v>
      </c>
      <c r="J32" t="s">
        <v>1029</v>
      </c>
      <c r="K32">
        <v>2</v>
      </c>
      <c r="L32">
        <v>11.5</v>
      </c>
      <c r="M32">
        <v>18</v>
      </c>
      <c r="N32">
        <v>18</v>
      </c>
      <c r="O32">
        <v>15.833333333333334</v>
      </c>
      <c r="P32">
        <v>86</v>
      </c>
      <c r="Q32">
        <v>8</v>
      </c>
      <c r="R32" t="s">
        <v>1538</v>
      </c>
      <c r="S32" t="s">
        <v>27</v>
      </c>
      <c r="T32" t="s">
        <v>49</v>
      </c>
      <c r="U32" t="s">
        <v>647</v>
      </c>
      <c r="V32">
        <v>2026</v>
      </c>
      <c r="W32" t="s">
        <v>994</v>
      </c>
      <c r="X32" t="s">
        <v>1002</v>
      </c>
      <c r="Y32" t="s">
        <v>310</v>
      </c>
    </row>
    <row r="33" spans="1:25" x14ac:dyDescent="0.25">
      <c r="A33">
        <v>79</v>
      </c>
      <c r="B33" t="s">
        <v>1099</v>
      </c>
      <c r="C33" t="s">
        <v>30</v>
      </c>
      <c r="D33">
        <v>25</v>
      </c>
      <c r="E33" t="s">
        <v>983</v>
      </c>
      <c r="F33" t="s">
        <v>984</v>
      </c>
      <c r="G33">
        <v>4</v>
      </c>
      <c r="H33" t="s">
        <v>1025</v>
      </c>
      <c r="I33" t="s">
        <v>1041</v>
      </c>
      <c r="J33" t="s">
        <v>1015</v>
      </c>
      <c r="K33">
        <v>2</v>
      </c>
      <c r="L33">
        <v>16.8</v>
      </c>
      <c r="M33">
        <v>13.5</v>
      </c>
      <c r="N33">
        <v>12.6</v>
      </c>
      <c r="O33">
        <v>14.299999999999999</v>
      </c>
      <c r="P33">
        <v>84</v>
      </c>
      <c r="Q33">
        <v>5</v>
      </c>
      <c r="R33" t="s">
        <v>1538</v>
      </c>
      <c r="S33" t="s">
        <v>49</v>
      </c>
      <c r="T33" t="s">
        <v>49</v>
      </c>
      <c r="U33" t="s">
        <v>653</v>
      </c>
      <c r="V33">
        <v>2025</v>
      </c>
      <c r="W33" t="s">
        <v>988</v>
      </c>
      <c r="X33" t="s">
        <v>989</v>
      </c>
      <c r="Y33" t="s">
        <v>310</v>
      </c>
    </row>
    <row r="34" spans="1:25" x14ac:dyDescent="0.25">
      <c r="A34">
        <v>78</v>
      </c>
      <c r="B34" t="s">
        <v>1098</v>
      </c>
      <c r="C34" t="s">
        <v>43</v>
      </c>
      <c r="D34">
        <v>20</v>
      </c>
      <c r="E34" t="s">
        <v>983</v>
      </c>
      <c r="F34" t="s">
        <v>984</v>
      </c>
      <c r="G34">
        <v>2</v>
      </c>
      <c r="H34" t="s">
        <v>985</v>
      </c>
      <c r="I34" t="s">
        <v>1007</v>
      </c>
      <c r="J34" t="s">
        <v>1001</v>
      </c>
      <c r="K34">
        <v>1</v>
      </c>
      <c r="L34">
        <v>15.8</v>
      </c>
      <c r="M34">
        <v>8.1999999999999993</v>
      </c>
      <c r="N34">
        <v>8.6</v>
      </c>
      <c r="O34">
        <v>10.866666666666667</v>
      </c>
      <c r="P34">
        <v>80</v>
      </c>
      <c r="Q34">
        <v>5</v>
      </c>
      <c r="R34" t="s">
        <v>1538</v>
      </c>
      <c r="S34" t="s">
        <v>49</v>
      </c>
      <c r="T34" t="s">
        <v>27</v>
      </c>
      <c r="U34" t="s">
        <v>653</v>
      </c>
      <c r="V34">
        <v>2024</v>
      </c>
      <c r="W34" t="s">
        <v>988</v>
      </c>
      <c r="X34" t="s">
        <v>989</v>
      </c>
      <c r="Y34" t="s">
        <v>310</v>
      </c>
    </row>
    <row r="35" spans="1:25" x14ac:dyDescent="0.25">
      <c r="A35">
        <v>77</v>
      </c>
      <c r="B35" t="s">
        <v>1097</v>
      </c>
      <c r="C35" t="s">
        <v>30</v>
      </c>
      <c r="D35">
        <v>18</v>
      </c>
      <c r="E35" t="s">
        <v>983</v>
      </c>
      <c r="F35" t="s">
        <v>984</v>
      </c>
      <c r="G35">
        <v>1</v>
      </c>
      <c r="H35" t="s">
        <v>985</v>
      </c>
      <c r="I35" t="s">
        <v>1007</v>
      </c>
      <c r="J35" t="s">
        <v>1020</v>
      </c>
      <c r="K35">
        <v>2</v>
      </c>
      <c r="L35">
        <v>12.2</v>
      </c>
      <c r="M35">
        <v>13.6</v>
      </c>
      <c r="N35">
        <v>19.100000000000001</v>
      </c>
      <c r="O35">
        <v>14.966666666666667</v>
      </c>
      <c r="P35">
        <v>83</v>
      </c>
      <c r="Q35">
        <v>4</v>
      </c>
      <c r="R35" t="s">
        <v>1538</v>
      </c>
      <c r="S35" t="s">
        <v>66</v>
      </c>
      <c r="T35" t="s">
        <v>27</v>
      </c>
      <c r="U35" t="s">
        <v>653</v>
      </c>
      <c r="V35">
        <v>2024</v>
      </c>
      <c r="W35" t="s">
        <v>988</v>
      </c>
      <c r="X35" t="s">
        <v>989</v>
      </c>
      <c r="Y35" t="s">
        <v>310</v>
      </c>
    </row>
    <row r="36" spans="1:25" x14ac:dyDescent="0.25">
      <c r="A36">
        <v>75</v>
      </c>
      <c r="B36" t="s">
        <v>1095</v>
      </c>
      <c r="C36" t="s">
        <v>43</v>
      </c>
      <c r="D36">
        <v>33</v>
      </c>
      <c r="E36" t="s">
        <v>983</v>
      </c>
      <c r="F36" t="s">
        <v>984</v>
      </c>
      <c r="G36">
        <v>1</v>
      </c>
      <c r="H36" t="s">
        <v>1025</v>
      </c>
      <c r="I36" t="s">
        <v>1048</v>
      </c>
      <c r="J36" t="s">
        <v>1034</v>
      </c>
      <c r="K36">
        <v>2</v>
      </c>
      <c r="L36">
        <v>8.1999999999999993</v>
      </c>
      <c r="M36">
        <v>15.3</v>
      </c>
      <c r="N36">
        <v>13.6</v>
      </c>
      <c r="O36">
        <v>12.366666666666667</v>
      </c>
      <c r="P36">
        <v>76</v>
      </c>
      <c r="Q36">
        <v>8</v>
      </c>
      <c r="R36" t="s">
        <v>1538</v>
      </c>
      <c r="S36" t="s">
        <v>27</v>
      </c>
      <c r="T36" t="s">
        <v>49</v>
      </c>
      <c r="U36" t="s">
        <v>653</v>
      </c>
      <c r="V36">
        <v>2024</v>
      </c>
      <c r="W36" t="s">
        <v>988</v>
      </c>
      <c r="X36" t="s">
        <v>1002</v>
      </c>
      <c r="Y36" t="s">
        <v>310</v>
      </c>
    </row>
    <row r="37" spans="1:25" x14ac:dyDescent="0.25">
      <c r="A37">
        <v>74</v>
      </c>
      <c r="B37" t="s">
        <v>1094</v>
      </c>
      <c r="C37" t="s">
        <v>30</v>
      </c>
      <c r="D37">
        <v>23</v>
      </c>
      <c r="E37" t="s">
        <v>983</v>
      </c>
      <c r="F37" t="s">
        <v>984</v>
      </c>
      <c r="G37">
        <v>4</v>
      </c>
      <c r="H37" t="s">
        <v>1000</v>
      </c>
      <c r="I37" t="s">
        <v>1054</v>
      </c>
      <c r="J37" t="s">
        <v>1043</v>
      </c>
      <c r="K37">
        <v>2</v>
      </c>
      <c r="L37">
        <v>11.2</v>
      </c>
      <c r="M37">
        <v>10.7</v>
      </c>
      <c r="N37">
        <v>14.6</v>
      </c>
      <c r="O37">
        <v>12.166666666666666</v>
      </c>
      <c r="P37">
        <v>89</v>
      </c>
      <c r="Q37">
        <v>4</v>
      </c>
      <c r="R37" t="s">
        <v>1538</v>
      </c>
      <c r="S37" t="s">
        <v>66</v>
      </c>
      <c r="T37" t="s">
        <v>27</v>
      </c>
      <c r="U37" t="s">
        <v>647</v>
      </c>
      <c r="V37">
        <v>2022</v>
      </c>
      <c r="W37" t="s">
        <v>994</v>
      </c>
      <c r="X37" t="s">
        <v>1002</v>
      </c>
      <c r="Y37" t="s">
        <v>310</v>
      </c>
    </row>
    <row r="38" spans="1:25" x14ac:dyDescent="0.25">
      <c r="A38">
        <v>70</v>
      </c>
      <c r="B38" t="s">
        <v>1090</v>
      </c>
      <c r="C38" t="s">
        <v>43</v>
      </c>
      <c r="D38">
        <v>30</v>
      </c>
      <c r="E38" t="s">
        <v>983</v>
      </c>
      <c r="F38" t="s">
        <v>984</v>
      </c>
      <c r="G38">
        <v>3</v>
      </c>
      <c r="H38" t="s">
        <v>992</v>
      </c>
      <c r="I38" t="s">
        <v>1041</v>
      </c>
      <c r="J38" t="s">
        <v>1008</v>
      </c>
      <c r="K38">
        <v>2</v>
      </c>
      <c r="L38">
        <v>17.100000000000001</v>
      </c>
      <c r="M38">
        <v>14.6</v>
      </c>
      <c r="N38">
        <v>10.6</v>
      </c>
      <c r="O38">
        <v>14.100000000000001</v>
      </c>
      <c r="P38">
        <v>65</v>
      </c>
      <c r="Q38">
        <v>8</v>
      </c>
      <c r="R38" t="s">
        <v>1538</v>
      </c>
      <c r="S38" t="s">
        <v>66</v>
      </c>
      <c r="T38" t="s">
        <v>40</v>
      </c>
      <c r="U38" t="s">
        <v>647</v>
      </c>
      <c r="V38">
        <v>2025</v>
      </c>
      <c r="W38" t="s">
        <v>994</v>
      </c>
      <c r="X38" t="s">
        <v>1002</v>
      </c>
      <c r="Y38" t="s">
        <v>310</v>
      </c>
    </row>
    <row r="39" spans="1:25" x14ac:dyDescent="0.25">
      <c r="A39">
        <v>69</v>
      </c>
      <c r="B39" t="s">
        <v>1089</v>
      </c>
      <c r="C39" t="s">
        <v>30</v>
      </c>
      <c r="D39">
        <v>32</v>
      </c>
      <c r="E39" t="s">
        <v>983</v>
      </c>
      <c r="F39" t="s">
        <v>984</v>
      </c>
      <c r="G39">
        <v>2</v>
      </c>
      <c r="H39" t="s">
        <v>992</v>
      </c>
      <c r="I39" t="s">
        <v>1010</v>
      </c>
      <c r="J39" t="s">
        <v>1049</v>
      </c>
      <c r="K39">
        <v>1</v>
      </c>
      <c r="L39">
        <v>15.6</v>
      </c>
      <c r="M39">
        <v>15.9</v>
      </c>
      <c r="N39">
        <v>11.1</v>
      </c>
      <c r="O39">
        <v>14.200000000000001</v>
      </c>
      <c r="P39">
        <v>70</v>
      </c>
      <c r="Q39">
        <v>8</v>
      </c>
      <c r="R39" t="s">
        <v>1538</v>
      </c>
      <c r="S39" t="s">
        <v>27</v>
      </c>
      <c r="T39" t="s">
        <v>40</v>
      </c>
      <c r="U39" t="s">
        <v>653</v>
      </c>
      <c r="V39">
        <v>2024</v>
      </c>
      <c r="W39" t="s">
        <v>994</v>
      </c>
      <c r="X39" t="s">
        <v>1002</v>
      </c>
      <c r="Y39" t="s">
        <v>310</v>
      </c>
    </row>
    <row r="40" spans="1:25" x14ac:dyDescent="0.25">
      <c r="A40">
        <v>39</v>
      </c>
      <c r="B40" t="s">
        <v>1058</v>
      </c>
      <c r="C40" t="s">
        <v>43</v>
      </c>
      <c r="D40">
        <v>29</v>
      </c>
      <c r="E40" t="s">
        <v>983</v>
      </c>
      <c r="F40" t="s">
        <v>984</v>
      </c>
      <c r="G40">
        <v>3</v>
      </c>
      <c r="H40" t="s">
        <v>1025</v>
      </c>
      <c r="I40" t="s">
        <v>1010</v>
      </c>
      <c r="J40" t="s">
        <v>1008</v>
      </c>
      <c r="K40">
        <v>2</v>
      </c>
      <c r="L40">
        <v>11</v>
      </c>
      <c r="M40">
        <v>12.6</v>
      </c>
      <c r="N40">
        <v>11.5</v>
      </c>
      <c r="O40">
        <v>11.700000000000001</v>
      </c>
      <c r="P40">
        <v>92</v>
      </c>
      <c r="Q40">
        <v>6</v>
      </c>
      <c r="R40" t="s">
        <v>1538</v>
      </c>
      <c r="S40" t="s">
        <v>49</v>
      </c>
      <c r="T40" t="s">
        <v>27</v>
      </c>
      <c r="U40" t="s">
        <v>653</v>
      </c>
      <c r="V40">
        <v>2023</v>
      </c>
      <c r="W40" t="s">
        <v>988</v>
      </c>
      <c r="X40" t="s">
        <v>989</v>
      </c>
      <c r="Y40" t="s">
        <v>310</v>
      </c>
    </row>
    <row r="41" spans="1:25" x14ac:dyDescent="0.25">
      <c r="A41">
        <v>40</v>
      </c>
      <c r="B41" t="s">
        <v>1059</v>
      </c>
      <c r="C41" t="s">
        <v>43</v>
      </c>
      <c r="D41">
        <v>19</v>
      </c>
      <c r="E41" t="s">
        <v>983</v>
      </c>
      <c r="F41" t="s">
        <v>984</v>
      </c>
      <c r="G41">
        <v>4</v>
      </c>
      <c r="H41" t="s">
        <v>985</v>
      </c>
      <c r="I41" t="s">
        <v>1010</v>
      </c>
      <c r="J41" t="s">
        <v>1020</v>
      </c>
      <c r="K41">
        <v>1</v>
      </c>
      <c r="L41">
        <v>9.1999999999999993</v>
      </c>
      <c r="M41">
        <v>15</v>
      </c>
      <c r="N41">
        <v>8.3000000000000007</v>
      </c>
      <c r="O41">
        <v>10.833333333333334</v>
      </c>
      <c r="P41">
        <v>97</v>
      </c>
      <c r="Q41">
        <v>5</v>
      </c>
      <c r="R41" t="s">
        <v>1538</v>
      </c>
      <c r="S41" t="s">
        <v>49</v>
      </c>
      <c r="T41" t="s">
        <v>27</v>
      </c>
      <c r="U41" t="s">
        <v>653</v>
      </c>
      <c r="V41">
        <v>2022</v>
      </c>
      <c r="W41" t="s">
        <v>994</v>
      </c>
      <c r="X41" t="s">
        <v>1002</v>
      </c>
      <c r="Y41" t="s">
        <v>310</v>
      </c>
    </row>
    <row r="42" spans="1:25" x14ac:dyDescent="0.25">
      <c r="A42">
        <v>68</v>
      </c>
      <c r="B42" t="s">
        <v>1088</v>
      </c>
      <c r="C42" t="s">
        <v>43</v>
      </c>
      <c r="D42">
        <v>30</v>
      </c>
      <c r="E42" t="s">
        <v>983</v>
      </c>
      <c r="F42" t="s">
        <v>984</v>
      </c>
      <c r="G42">
        <v>4</v>
      </c>
      <c r="H42" t="s">
        <v>1025</v>
      </c>
      <c r="I42" t="s">
        <v>1054</v>
      </c>
      <c r="J42" t="s">
        <v>1043</v>
      </c>
      <c r="K42">
        <v>2</v>
      </c>
      <c r="L42">
        <v>13</v>
      </c>
      <c r="M42">
        <v>16.899999999999999</v>
      </c>
      <c r="N42">
        <v>13.6</v>
      </c>
      <c r="O42">
        <v>14.5</v>
      </c>
      <c r="P42">
        <v>76</v>
      </c>
      <c r="Q42">
        <v>4</v>
      </c>
      <c r="R42" t="s">
        <v>1538</v>
      </c>
      <c r="S42" t="s">
        <v>49</v>
      </c>
      <c r="T42" t="s">
        <v>49</v>
      </c>
      <c r="U42" t="s">
        <v>647</v>
      </c>
      <c r="V42">
        <v>2024</v>
      </c>
      <c r="W42" t="s">
        <v>988</v>
      </c>
      <c r="X42" t="s">
        <v>1002</v>
      </c>
      <c r="Y42" t="s">
        <v>310</v>
      </c>
    </row>
    <row r="43" spans="1:25" x14ac:dyDescent="0.25">
      <c r="A43">
        <v>67</v>
      </c>
      <c r="B43" t="s">
        <v>1087</v>
      </c>
      <c r="C43" t="s">
        <v>30</v>
      </c>
      <c r="D43">
        <v>33</v>
      </c>
      <c r="E43" t="s">
        <v>983</v>
      </c>
      <c r="F43" t="s">
        <v>984</v>
      </c>
      <c r="G43">
        <v>1</v>
      </c>
      <c r="H43" t="s">
        <v>1000</v>
      </c>
      <c r="I43" t="s">
        <v>1019</v>
      </c>
      <c r="J43" t="s">
        <v>1049</v>
      </c>
      <c r="K43">
        <v>2</v>
      </c>
      <c r="L43">
        <v>12.2</v>
      </c>
      <c r="M43">
        <v>12.8</v>
      </c>
      <c r="N43">
        <v>12.4</v>
      </c>
      <c r="O43">
        <v>12.466666666666667</v>
      </c>
      <c r="P43">
        <v>65</v>
      </c>
      <c r="Q43">
        <v>5</v>
      </c>
      <c r="R43" t="s">
        <v>1538</v>
      </c>
      <c r="S43" t="s">
        <v>49</v>
      </c>
      <c r="T43" t="s">
        <v>49</v>
      </c>
      <c r="U43" t="s">
        <v>653</v>
      </c>
      <c r="V43">
        <v>2023</v>
      </c>
      <c r="W43" t="s">
        <v>988</v>
      </c>
      <c r="X43" t="s">
        <v>989</v>
      </c>
      <c r="Y43" t="s">
        <v>310</v>
      </c>
    </row>
    <row r="44" spans="1:25" x14ac:dyDescent="0.25">
      <c r="A44">
        <v>65</v>
      </c>
      <c r="B44" t="s">
        <v>1085</v>
      </c>
      <c r="C44" t="s">
        <v>43</v>
      </c>
      <c r="D44">
        <v>25</v>
      </c>
      <c r="E44" t="s">
        <v>983</v>
      </c>
      <c r="F44" t="s">
        <v>984</v>
      </c>
      <c r="G44">
        <v>1</v>
      </c>
      <c r="H44" t="s">
        <v>1000</v>
      </c>
      <c r="I44" t="s">
        <v>1012</v>
      </c>
      <c r="J44" t="s">
        <v>987</v>
      </c>
      <c r="K44">
        <v>1</v>
      </c>
      <c r="L44">
        <v>17</v>
      </c>
      <c r="M44">
        <v>8.3000000000000007</v>
      </c>
      <c r="N44">
        <v>15.2</v>
      </c>
      <c r="O44">
        <v>13.5</v>
      </c>
      <c r="P44">
        <v>98</v>
      </c>
      <c r="Q44">
        <v>6</v>
      </c>
      <c r="R44" t="s">
        <v>1538</v>
      </c>
      <c r="S44" t="s">
        <v>27</v>
      </c>
      <c r="T44" t="s">
        <v>49</v>
      </c>
      <c r="U44" t="s">
        <v>653</v>
      </c>
      <c r="V44">
        <v>2025</v>
      </c>
      <c r="W44" t="s">
        <v>988</v>
      </c>
      <c r="X44" t="s">
        <v>989</v>
      </c>
      <c r="Y44" t="s">
        <v>310</v>
      </c>
    </row>
    <row r="45" spans="1:25" x14ac:dyDescent="0.25">
      <c r="A45">
        <v>63</v>
      </c>
      <c r="B45" t="s">
        <v>1083</v>
      </c>
      <c r="C45" t="s">
        <v>43</v>
      </c>
      <c r="D45">
        <v>28</v>
      </c>
      <c r="E45" t="s">
        <v>983</v>
      </c>
      <c r="F45" t="s">
        <v>984</v>
      </c>
      <c r="G45">
        <v>3</v>
      </c>
      <c r="H45" t="s">
        <v>1025</v>
      </c>
      <c r="I45" t="s">
        <v>1007</v>
      </c>
      <c r="J45" t="s">
        <v>1015</v>
      </c>
      <c r="K45">
        <v>2</v>
      </c>
      <c r="L45">
        <v>12.1</v>
      </c>
      <c r="M45">
        <v>8.6999999999999993</v>
      </c>
      <c r="N45">
        <v>16.7</v>
      </c>
      <c r="O45">
        <v>12.5</v>
      </c>
      <c r="P45">
        <v>74</v>
      </c>
      <c r="Q45">
        <v>5</v>
      </c>
      <c r="R45" t="s">
        <v>1538</v>
      </c>
      <c r="S45" t="s">
        <v>66</v>
      </c>
      <c r="T45" t="s">
        <v>40</v>
      </c>
      <c r="U45" t="s">
        <v>647</v>
      </c>
      <c r="V45">
        <v>2023</v>
      </c>
      <c r="W45" t="s">
        <v>994</v>
      </c>
      <c r="X45" t="s">
        <v>989</v>
      </c>
      <c r="Y45" t="s">
        <v>310</v>
      </c>
    </row>
    <row r="46" spans="1:25" x14ac:dyDescent="0.25">
      <c r="A46">
        <v>62</v>
      </c>
      <c r="B46" t="s">
        <v>1082</v>
      </c>
      <c r="C46" t="s">
        <v>30</v>
      </c>
      <c r="D46">
        <v>32</v>
      </c>
      <c r="E46" t="s">
        <v>983</v>
      </c>
      <c r="F46" t="s">
        <v>984</v>
      </c>
      <c r="G46">
        <v>3</v>
      </c>
      <c r="H46" t="s">
        <v>992</v>
      </c>
      <c r="I46" t="s">
        <v>1007</v>
      </c>
      <c r="J46" t="s">
        <v>998</v>
      </c>
      <c r="K46">
        <v>2</v>
      </c>
      <c r="L46">
        <v>14</v>
      </c>
      <c r="M46">
        <v>8.6999999999999993</v>
      </c>
      <c r="N46">
        <v>18.100000000000001</v>
      </c>
      <c r="O46">
        <v>13.6</v>
      </c>
      <c r="P46">
        <v>75</v>
      </c>
      <c r="Q46">
        <v>4</v>
      </c>
      <c r="R46" t="s">
        <v>1538</v>
      </c>
      <c r="S46" t="s">
        <v>27</v>
      </c>
      <c r="T46" t="s">
        <v>49</v>
      </c>
      <c r="U46" t="s">
        <v>647</v>
      </c>
      <c r="V46">
        <v>2023</v>
      </c>
      <c r="W46" t="s">
        <v>988</v>
      </c>
      <c r="X46" t="s">
        <v>989</v>
      </c>
      <c r="Y46" t="s">
        <v>310</v>
      </c>
    </row>
    <row r="47" spans="1:25" x14ac:dyDescent="0.25">
      <c r="A47">
        <v>58</v>
      </c>
      <c r="B47" t="s">
        <v>1078</v>
      </c>
      <c r="C47" t="s">
        <v>43</v>
      </c>
      <c r="D47">
        <v>33</v>
      </c>
      <c r="E47" t="s">
        <v>983</v>
      </c>
      <c r="F47" t="s">
        <v>984</v>
      </c>
      <c r="G47">
        <v>4</v>
      </c>
      <c r="H47" t="s">
        <v>1025</v>
      </c>
      <c r="I47" t="s">
        <v>1017</v>
      </c>
      <c r="J47" t="s">
        <v>1043</v>
      </c>
      <c r="K47">
        <v>2</v>
      </c>
      <c r="L47">
        <v>14.7</v>
      </c>
      <c r="M47">
        <v>12.6</v>
      </c>
      <c r="N47">
        <v>17.399999999999999</v>
      </c>
      <c r="O47">
        <v>14.899999999999999</v>
      </c>
      <c r="P47">
        <v>96</v>
      </c>
      <c r="Q47">
        <v>5</v>
      </c>
      <c r="R47" t="s">
        <v>1538</v>
      </c>
      <c r="S47" t="s">
        <v>66</v>
      </c>
      <c r="T47" t="s">
        <v>27</v>
      </c>
      <c r="U47" t="s">
        <v>647</v>
      </c>
      <c r="V47">
        <v>2023</v>
      </c>
      <c r="W47" t="s">
        <v>994</v>
      </c>
      <c r="X47" t="s">
        <v>1002</v>
      </c>
      <c r="Y47" t="s">
        <v>310</v>
      </c>
    </row>
    <row r="48" spans="1:25" x14ac:dyDescent="0.25">
      <c r="A48">
        <v>57</v>
      </c>
      <c r="B48" t="s">
        <v>1077</v>
      </c>
      <c r="C48" t="s">
        <v>43</v>
      </c>
      <c r="D48">
        <v>20</v>
      </c>
      <c r="E48" t="s">
        <v>983</v>
      </c>
      <c r="F48" t="s">
        <v>984</v>
      </c>
      <c r="G48">
        <v>4</v>
      </c>
      <c r="H48" t="s">
        <v>1025</v>
      </c>
      <c r="I48" t="s">
        <v>1048</v>
      </c>
      <c r="J48" t="s">
        <v>1029</v>
      </c>
      <c r="K48">
        <v>1</v>
      </c>
      <c r="L48">
        <v>17.2</v>
      </c>
      <c r="M48">
        <v>11.4</v>
      </c>
      <c r="N48">
        <v>11.2</v>
      </c>
      <c r="O48">
        <v>13.266666666666666</v>
      </c>
      <c r="P48">
        <v>76</v>
      </c>
      <c r="Q48">
        <v>8</v>
      </c>
      <c r="R48" t="s">
        <v>1538</v>
      </c>
      <c r="S48" t="s">
        <v>66</v>
      </c>
      <c r="T48" t="s">
        <v>40</v>
      </c>
      <c r="U48" t="s">
        <v>647</v>
      </c>
      <c r="V48">
        <v>2023</v>
      </c>
      <c r="W48" t="s">
        <v>994</v>
      </c>
      <c r="X48" t="s">
        <v>989</v>
      </c>
      <c r="Y48" t="s">
        <v>310</v>
      </c>
    </row>
    <row r="49" spans="1:25" x14ac:dyDescent="0.25">
      <c r="A49">
        <v>56</v>
      </c>
      <c r="B49" t="s">
        <v>1076</v>
      </c>
      <c r="C49" t="s">
        <v>43</v>
      </c>
      <c r="D49">
        <v>22</v>
      </c>
      <c r="E49" t="s">
        <v>983</v>
      </c>
      <c r="F49" t="s">
        <v>984</v>
      </c>
      <c r="G49">
        <v>4</v>
      </c>
      <c r="H49" t="s">
        <v>1000</v>
      </c>
      <c r="I49" t="s">
        <v>1010</v>
      </c>
      <c r="J49" t="s">
        <v>1008</v>
      </c>
      <c r="K49">
        <v>1</v>
      </c>
      <c r="L49">
        <v>12.9</v>
      </c>
      <c r="M49">
        <v>16.399999999999999</v>
      </c>
      <c r="N49">
        <v>19.899999999999999</v>
      </c>
      <c r="O49">
        <v>16.399999999999999</v>
      </c>
      <c r="P49">
        <v>81</v>
      </c>
      <c r="Q49">
        <v>4</v>
      </c>
      <c r="R49" t="s">
        <v>1538</v>
      </c>
      <c r="S49" t="s">
        <v>49</v>
      </c>
      <c r="T49" t="s">
        <v>49</v>
      </c>
      <c r="U49" t="s">
        <v>653</v>
      </c>
      <c r="V49">
        <v>2025</v>
      </c>
      <c r="W49" t="s">
        <v>988</v>
      </c>
      <c r="X49" t="s">
        <v>989</v>
      </c>
      <c r="Y49" t="s">
        <v>310</v>
      </c>
    </row>
    <row r="50" spans="1:25" x14ac:dyDescent="0.25">
      <c r="A50">
        <v>49</v>
      </c>
      <c r="B50" t="s">
        <v>1069</v>
      </c>
      <c r="C50" t="s">
        <v>30</v>
      </c>
      <c r="D50">
        <v>31</v>
      </c>
      <c r="E50" t="s">
        <v>983</v>
      </c>
      <c r="F50" t="s">
        <v>984</v>
      </c>
      <c r="G50">
        <v>1</v>
      </c>
      <c r="H50" t="s">
        <v>985</v>
      </c>
      <c r="I50" t="s">
        <v>1019</v>
      </c>
      <c r="J50" t="s">
        <v>1029</v>
      </c>
      <c r="K50">
        <v>2</v>
      </c>
      <c r="L50">
        <v>11</v>
      </c>
      <c r="M50">
        <v>12</v>
      </c>
      <c r="N50">
        <v>14.2</v>
      </c>
      <c r="O50">
        <v>12.4</v>
      </c>
      <c r="P50">
        <v>61</v>
      </c>
      <c r="Q50">
        <v>4</v>
      </c>
      <c r="R50" t="s">
        <v>1538</v>
      </c>
      <c r="S50" t="s">
        <v>49</v>
      </c>
      <c r="T50" t="s">
        <v>49</v>
      </c>
      <c r="U50" t="s">
        <v>653</v>
      </c>
      <c r="V50">
        <v>2022</v>
      </c>
      <c r="W50" t="s">
        <v>988</v>
      </c>
      <c r="X50" t="s">
        <v>1002</v>
      </c>
      <c r="Y50" t="s">
        <v>310</v>
      </c>
    </row>
    <row r="51" spans="1:25" x14ac:dyDescent="0.25">
      <c r="A51">
        <v>55</v>
      </c>
      <c r="B51" t="s">
        <v>1075</v>
      </c>
      <c r="C51" t="s">
        <v>30</v>
      </c>
      <c r="D51">
        <v>27</v>
      </c>
      <c r="E51" t="s">
        <v>983</v>
      </c>
      <c r="F51" t="s">
        <v>984</v>
      </c>
      <c r="G51">
        <v>4</v>
      </c>
      <c r="H51" t="s">
        <v>1000</v>
      </c>
      <c r="I51" t="s">
        <v>1004</v>
      </c>
      <c r="J51" t="s">
        <v>998</v>
      </c>
      <c r="K51">
        <v>1</v>
      </c>
      <c r="L51">
        <v>8.6</v>
      </c>
      <c r="M51">
        <v>16.3</v>
      </c>
      <c r="N51">
        <v>16.2</v>
      </c>
      <c r="O51">
        <v>13.699999999999998</v>
      </c>
      <c r="P51">
        <v>64</v>
      </c>
      <c r="Q51">
        <v>7</v>
      </c>
      <c r="R51" t="s">
        <v>1538</v>
      </c>
      <c r="S51" t="s">
        <v>27</v>
      </c>
      <c r="T51" t="s">
        <v>27</v>
      </c>
      <c r="U51" t="s">
        <v>653</v>
      </c>
      <c r="V51">
        <v>2022</v>
      </c>
      <c r="W51" t="s">
        <v>988</v>
      </c>
      <c r="X51" t="s">
        <v>989</v>
      </c>
      <c r="Y51" t="s">
        <v>310</v>
      </c>
    </row>
    <row r="52" spans="1:25" x14ac:dyDescent="0.25">
      <c r="A52">
        <v>53</v>
      </c>
      <c r="B52" t="s">
        <v>1073</v>
      </c>
      <c r="C52" t="s">
        <v>43</v>
      </c>
      <c r="D52">
        <v>27</v>
      </c>
      <c r="E52" t="s">
        <v>983</v>
      </c>
      <c r="F52" t="s">
        <v>984</v>
      </c>
      <c r="G52">
        <v>3</v>
      </c>
      <c r="H52" t="s">
        <v>992</v>
      </c>
      <c r="I52" t="s">
        <v>1010</v>
      </c>
      <c r="J52" t="s">
        <v>1015</v>
      </c>
      <c r="K52">
        <v>2</v>
      </c>
      <c r="L52">
        <v>13.6</v>
      </c>
      <c r="M52">
        <v>9.6999999999999993</v>
      </c>
      <c r="N52">
        <v>17.399999999999999</v>
      </c>
      <c r="O52">
        <v>13.566666666666665</v>
      </c>
      <c r="P52">
        <v>81</v>
      </c>
      <c r="Q52">
        <v>4</v>
      </c>
      <c r="R52" t="s">
        <v>1538</v>
      </c>
      <c r="S52" t="s">
        <v>27</v>
      </c>
      <c r="T52" t="s">
        <v>40</v>
      </c>
      <c r="U52" t="s">
        <v>647</v>
      </c>
      <c r="V52">
        <v>2023</v>
      </c>
      <c r="W52" t="s">
        <v>994</v>
      </c>
      <c r="X52" t="s">
        <v>1002</v>
      </c>
      <c r="Y52" t="s">
        <v>310</v>
      </c>
    </row>
    <row r="53" spans="1:25" x14ac:dyDescent="0.25">
      <c r="A53">
        <v>52</v>
      </c>
      <c r="B53" t="s">
        <v>1072</v>
      </c>
      <c r="C53" t="s">
        <v>30</v>
      </c>
      <c r="D53">
        <v>26</v>
      </c>
      <c r="E53" t="s">
        <v>983</v>
      </c>
      <c r="F53" t="s">
        <v>984</v>
      </c>
      <c r="G53">
        <v>1</v>
      </c>
      <c r="H53" t="s">
        <v>992</v>
      </c>
      <c r="I53" t="s">
        <v>986</v>
      </c>
      <c r="J53" t="s">
        <v>1008</v>
      </c>
      <c r="K53">
        <v>1</v>
      </c>
      <c r="L53">
        <v>16.899999999999999</v>
      </c>
      <c r="M53">
        <v>13</v>
      </c>
      <c r="N53">
        <v>18.100000000000001</v>
      </c>
      <c r="O53">
        <v>16</v>
      </c>
      <c r="P53">
        <v>99</v>
      </c>
      <c r="Q53">
        <v>6</v>
      </c>
      <c r="R53" t="s">
        <v>1538</v>
      </c>
      <c r="S53" t="s">
        <v>49</v>
      </c>
      <c r="T53" t="s">
        <v>40</v>
      </c>
      <c r="U53" t="s">
        <v>653</v>
      </c>
      <c r="V53">
        <v>2026</v>
      </c>
      <c r="W53" t="s">
        <v>988</v>
      </c>
      <c r="X53" t="s">
        <v>989</v>
      </c>
      <c r="Y53" t="s">
        <v>310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3"/>
  <sheetViews>
    <sheetView zoomScale="70" zoomScaleNormal="70" workbookViewId="0">
      <selection activeCell="C23" sqref="C23"/>
    </sheetView>
  </sheetViews>
  <sheetFormatPr defaultRowHeight="15" x14ac:dyDescent="0.25"/>
  <cols>
    <col min="1" max="1" width="15.5703125" customWidth="1"/>
    <col min="2" max="2" width="9.85546875" customWidth="1"/>
    <col min="3" max="3" width="15.42578125" bestFit="1" customWidth="1"/>
    <col min="10" max="10" width="18.140625" customWidth="1"/>
    <col min="11" max="11" width="14.85546875" bestFit="1" customWidth="1"/>
    <col min="12" max="12" width="13.140625" customWidth="1"/>
    <col min="13" max="13" width="18.42578125" bestFit="1" customWidth="1"/>
  </cols>
  <sheetData>
    <row r="3" spans="1:2" x14ac:dyDescent="0.25">
      <c r="A3" s="2" t="s">
        <v>1534</v>
      </c>
      <c r="B3" t="s">
        <v>1536</v>
      </c>
    </row>
    <row r="4" spans="1:2" x14ac:dyDescent="0.25">
      <c r="A4" s="3" t="s">
        <v>30</v>
      </c>
      <c r="B4" s="4">
        <v>26</v>
      </c>
    </row>
    <row r="5" spans="1:2" x14ac:dyDescent="0.25">
      <c r="A5" s="3" t="s">
        <v>43</v>
      </c>
      <c r="B5" s="4">
        <v>26</v>
      </c>
    </row>
    <row r="6" spans="1:2" x14ac:dyDescent="0.25">
      <c r="A6" s="3" t="s">
        <v>1535</v>
      </c>
      <c r="B6" s="4">
        <v>52</v>
      </c>
    </row>
    <row r="10" spans="1:2" x14ac:dyDescent="0.25">
      <c r="A10" s="2" t="s">
        <v>1534</v>
      </c>
      <c r="B10" t="s">
        <v>1540</v>
      </c>
    </row>
    <row r="11" spans="1:2" x14ac:dyDescent="0.25">
      <c r="A11" s="3" t="s">
        <v>1538</v>
      </c>
      <c r="B11" s="4">
        <v>50</v>
      </c>
    </row>
    <row r="12" spans="1:2" x14ac:dyDescent="0.25">
      <c r="A12" s="3" t="s">
        <v>1539</v>
      </c>
      <c r="B12" s="4">
        <v>2</v>
      </c>
    </row>
    <row r="13" spans="1:2" x14ac:dyDescent="0.25">
      <c r="A13" s="3" t="s">
        <v>1535</v>
      </c>
      <c r="B13" s="4">
        <v>52</v>
      </c>
    </row>
    <row r="16" spans="1:2" ht="15.75" x14ac:dyDescent="0.25">
      <c r="A16" s="8" t="s">
        <v>1534</v>
      </c>
      <c r="B16" s="9" t="s">
        <v>1537</v>
      </c>
    </row>
    <row r="17" spans="1:3" ht="15.75" x14ac:dyDescent="0.25">
      <c r="A17" s="11" t="s">
        <v>983</v>
      </c>
      <c r="B17" s="12">
        <v>52</v>
      </c>
    </row>
    <row r="18" spans="1:3" ht="15.75" x14ac:dyDescent="0.25">
      <c r="A18" s="9" t="s">
        <v>1535</v>
      </c>
      <c r="B18" s="10">
        <v>52</v>
      </c>
    </row>
    <row r="19" spans="1:3" ht="15.75" x14ac:dyDescent="0.25"/>
    <row r="20" spans="1:3" ht="15.75" x14ac:dyDescent="0.25"/>
    <row r="21" spans="1:3" x14ac:dyDescent="0.25">
      <c r="A21" s="2" t="s">
        <v>967</v>
      </c>
      <c r="B21" t="s">
        <v>1541</v>
      </c>
      <c r="C21" t="s">
        <v>1542</v>
      </c>
    </row>
    <row r="22" spans="1:3" x14ac:dyDescent="0.25">
      <c r="A22" s="3" t="s">
        <v>983</v>
      </c>
      <c r="B22" s="4">
        <v>695.20000000000016</v>
      </c>
      <c r="C22" s="4">
        <v>4145</v>
      </c>
    </row>
    <row r="23" spans="1:3" x14ac:dyDescent="0.25">
      <c r="A23" s="3" t="s">
        <v>1535</v>
      </c>
      <c r="B23" s="4">
        <v>695.20000000000016</v>
      </c>
      <c r="C23" s="4">
        <v>4145</v>
      </c>
    </row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A13" sqref="A13"/>
    </sheetView>
  </sheetViews>
  <sheetFormatPr defaultRowHeight="15" x14ac:dyDescent="0.25"/>
  <cols>
    <col min="1" max="1" width="10.7109375" customWidth="1"/>
    <col min="2" max="2" width="7" customWidth="1"/>
    <col min="4" max="4" width="15.7109375" customWidth="1"/>
    <col min="8" max="8" width="17" customWidth="1"/>
  </cols>
  <sheetData>
    <row r="3" spans="1:2" x14ac:dyDescent="0.25">
      <c r="A3" s="2" t="s">
        <v>1548</v>
      </c>
      <c r="B3" t="s">
        <v>1549</v>
      </c>
    </row>
    <row r="4" spans="1:2" x14ac:dyDescent="0.25">
      <c r="A4" s="3" t="s">
        <v>30</v>
      </c>
      <c r="B4" s="4">
        <v>8</v>
      </c>
    </row>
    <row r="5" spans="1:2" x14ac:dyDescent="0.25">
      <c r="A5" s="3" t="s">
        <v>43</v>
      </c>
      <c r="B5" s="4">
        <v>2</v>
      </c>
    </row>
    <row r="6" spans="1:2" x14ac:dyDescent="0.25">
      <c r="A6" s="3" t="s">
        <v>1535</v>
      </c>
      <c r="B6" s="4">
        <v>10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0"/>
  <sheetViews>
    <sheetView tabSelected="1" workbookViewId="0">
      <selection activeCell="A3" sqref="A3"/>
    </sheetView>
  </sheetViews>
  <sheetFormatPr defaultRowHeight="15" x14ac:dyDescent="0.25"/>
  <sheetData>
    <row r="3" spans="1:3" x14ac:dyDescent="0.25">
      <c r="A3" s="13"/>
      <c r="B3" s="14"/>
      <c r="C3" s="15"/>
    </row>
    <row r="4" spans="1:3" x14ac:dyDescent="0.25">
      <c r="A4" s="16"/>
      <c r="B4" s="17"/>
      <c r="C4" s="18"/>
    </row>
    <row r="5" spans="1:3" x14ac:dyDescent="0.25">
      <c r="A5" s="16"/>
      <c r="B5" s="17"/>
      <c r="C5" s="18"/>
    </row>
    <row r="6" spans="1:3" x14ac:dyDescent="0.25">
      <c r="A6" s="16"/>
      <c r="B6" s="17"/>
      <c r="C6" s="18"/>
    </row>
    <row r="7" spans="1:3" x14ac:dyDescent="0.25">
      <c r="A7" s="16"/>
      <c r="B7" s="17"/>
      <c r="C7" s="18"/>
    </row>
    <row r="8" spans="1:3" x14ac:dyDescent="0.25">
      <c r="A8" s="16"/>
      <c r="B8" s="17"/>
      <c r="C8" s="18"/>
    </row>
    <row r="9" spans="1:3" x14ac:dyDescent="0.25">
      <c r="A9" s="16"/>
      <c r="B9" s="17"/>
      <c r="C9" s="18"/>
    </row>
    <row r="10" spans="1:3" x14ac:dyDescent="0.25">
      <c r="A10" s="16"/>
      <c r="B10" s="17"/>
      <c r="C10" s="18"/>
    </row>
    <row r="11" spans="1:3" x14ac:dyDescent="0.25">
      <c r="A11" s="16"/>
      <c r="B11" s="17"/>
      <c r="C11" s="18"/>
    </row>
    <row r="12" spans="1:3" x14ac:dyDescent="0.25">
      <c r="A12" s="16"/>
      <c r="B12" s="17"/>
      <c r="C12" s="18"/>
    </row>
    <row r="13" spans="1:3" x14ac:dyDescent="0.25">
      <c r="A13" s="16"/>
      <c r="B13" s="17"/>
      <c r="C13" s="18"/>
    </row>
    <row r="14" spans="1:3" x14ac:dyDescent="0.25">
      <c r="A14" s="16"/>
      <c r="B14" s="17"/>
      <c r="C14" s="18"/>
    </row>
    <row r="15" spans="1:3" x14ac:dyDescent="0.25">
      <c r="A15" s="16"/>
      <c r="B15" s="17"/>
      <c r="C15" s="18"/>
    </row>
    <row r="16" spans="1:3" x14ac:dyDescent="0.25">
      <c r="A16" s="16"/>
      <c r="B16" s="17"/>
      <c r="C16" s="18"/>
    </row>
    <row r="17" spans="1:3" x14ac:dyDescent="0.25">
      <c r="A17" s="16"/>
      <c r="B17" s="17"/>
      <c r="C17" s="18"/>
    </row>
    <row r="18" spans="1:3" x14ac:dyDescent="0.25">
      <c r="A18" s="16"/>
      <c r="B18" s="17"/>
      <c r="C18" s="18"/>
    </row>
    <row r="19" spans="1:3" x14ac:dyDescent="0.25">
      <c r="A19" s="16"/>
      <c r="B19" s="17"/>
      <c r="C19" s="18"/>
    </row>
    <row r="20" spans="1:3" x14ac:dyDescent="0.25">
      <c r="A20" s="19"/>
      <c r="B20" s="20"/>
      <c r="C20" s="2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topLeftCell="A95" zoomScale="30" zoomScaleNormal="30" workbookViewId="0">
      <selection activeCell="B122" sqref="A1:Y151"/>
    </sheetView>
  </sheetViews>
  <sheetFormatPr defaultRowHeight="15" x14ac:dyDescent="0.25"/>
  <cols>
    <col min="7" max="7" width="9.5703125" bestFit="1" customWidth="1"/>
    <col min="8" max="8" width="10.7109375" customWidth="1"/>
    <col min="9" max="9" width="10.140625" customWidth="1"/>
    <col min="10" max="10" width="10.5703125" customWidth="1"/>
    <col min="18" max="18" width="15.42578125" customWidth="1"/>
    <col min="19" max="19" width="10" customWidth="1"/>
  </cols>
  <sheetData>
    <row r="1" spans="1:25" ht="15.75" x14ac:dyDescent="0.25">
      <c r="A1" t="s">
        <v>0</v>
      </c>
      <c r="B1" t="s">
        <v>966</v>
      </c>
      <c r="C1" t="s">
        <v>11</v>
      </c>
      <c r="D1" s="1" t="s">
        <v>283</v>
      </c>
      <c r="E1" s="1" t="s">
        <v>967</v>
      </c>
      <c r="F1" s="1" t="s">
        <v>968</v>
      </c>
      <c r="G1" s="1" t="s">
        <v>2</v>
      </c>
      <c r="H1" s="1" t="s">
        <v>969</v>
      </c>
      <c r="I1" s="1" t="s">
        <v>970</v>
      </c>
      <c r="J1" s="1" t="s">
        <v>971</v>
      </c>
      <c r="K1" s="1" t="s">
        <v>972</v>
      </c>
      <c r="L1" s="1" t="s">
        <v>973</v>
      </c>
      <c r="M1" s="1" t="s">
        <v>974</v>
      </c>
      <c r="N1" s="1" t="s">
        <v>975</v>
      </c>
      <c r="O1" s="1" t="s">
        <v>279</v>
      </c>
      <c r="P1" s="1" t="s">
        <v>976</v>
      </c>
      <c r="Q1" s="1" t="s">
        <v>977</v>
      </c>
      <c r="R1" s="1" t="s">
        <v>978</v>
      </c>
      <c r="S1" s="1" t="s">
        <v>8</v>
      </c>
      <c r="T1" s="1" t="s">
        <v>7</v>
      </c>
      <c r="U1" s="1" t="s">
        <v>979</v>
      </c>
      <c r="V1" s="1" t="s">
        <v>980</v>
      </c>
      <c r="W1" s="1" t="s">
        <v>296</v>
      </c>
      <c r="X1" s="1" t="s">
        <v>981</v>
      </c>
      <c r="Y1" s="1" t="s">
        <v>24</v>
      </c>
    </row>
    <row r="2" spans="1:25" ht="15.75" x14ac:dyDescent="0.25">
      <c r="A2">
        <v>1</v>
      </c>
      <c r="B2" t="s">
        <v>982</v>
      </c>
      <c r="C2" t="s">
        <v>30</v>
      </c>
      <c r="D2" s="1">
        <v>29</v>
      </c>
      <c r="E2" s="1" t="s">
        <v>983</v>
      </c>
      <c r="F2" s="1" t="s">
        <v>984</v>
      </c>
      <c r="G2" s="1">
        <v>4</v>
      </c>
      <c r="H2" s="1" t="s">
        <v>985</v>
      </c>
      <c r="I2" s="1" t="s">
        <v>986</v>
      </c>
      <c r="J2" s="1" t="s">
        <v>987</v>
      </c>
      <c r="K2" s="1">
        <v>2</v>
      </c>
      <c r="L2" s="1">
        <v>12.5</v>
      </c>
      <c r="M2" s="1">
        <v>15.8</v>
      </c>
      <c r="N2" s="1">
        <v>16.600000000000001</v>
      </c>
      <c r="O2" s="1">
        <f>(L2+M2+N2)/3</f>
        <v>14.966666666666669</v>
      </c>
      <c r="P2" s="1">
        <v>77</v>
      </c>
      <c r="Q2" s="1">
        <v>8</v>
      </c>
      <c r="R2" s="1" t="str">
        <f t="shared" ref="R2:R33" si="0">IF(O2&gt;=10,"Aprovado","Reprovado")</f>
        <v>Aprovado</v>
      </c>
      <c r="S2" s="1" t="s">
        <v>27</v>
      </c>
      <c r="T2" s="1" t="s">
        <v>40</v>
      </c>
      <c r="U2" s="1" t="s">
        <v>647</v>
      </c>
      <c r="V2" s="1">
        <v>2022</v>
      </c>
      <c r="W2" s="1" t="s">
        <v>988</v>
      </c>
      <c r="X2" s="1" t="s">
        <v>989</v>
      </c>
      <c r="Y2" s="1" t="s">
        <v>310</v>
      </c>
    </row>
    <row r="3" spans="1:25" ht="15.75" x14ac:dyDescent="0.25">
      <c r="A3">
        <v>2</v>
      </c>
      <c r="B3" t="s">
        <v>990</v>
      </c>
      <c r="C3" t="s">
        <v>43</v>
      </c>
      <c r="D3" s="1">
        <v>27</v>
      </c>
      <c r="E3" s="1" t="s">
        <v>991</v>
      </c>
      <c r="F3" s="1" t="s">
        <v>984</v>
      </c>
      <c r="G3" s="1">
        <v>3</v>
      </c>
      <c r="H3" s="1" t="s">
        <v>992</v>
      </c>
      <c r="I3" s="1" t="s">
        <v>986</v>
      </c>
      <c r="J3" s="1" t="s">
        <v>993</v>
      </c>
      <c r="K3" s="1">
        <v>2</v>
      </c>
      <c r="L3" s="1">
        <v>15</v>
      </c>
      <c r="M3" s="1">
        <v>16.8</v>
      </c>
      <c r="N3" s="1">
        <v>20</v>
      </c>
      <c r="O3" s="1">
        <f t="shared" ref="O3:O66" si="1">(L3+M3+N3)/3</f>
        <v>17.266666666666666</v>
      </c>
      <c r="P3" s="1">
        <v>62</v>
      </c>
      <c r="Q3" s="1">
        <v>4</v>
      </c>
      <c r="R3" s="1" t="str">
        <f t="shared" si="0"/>
        <v>Aprovado</v>
      </c>
      <c r="S3" s="1" t="s">
        <v>49</v>
      </c>
      <c r="T3" s="1" t="s">
        <v>49</v>
      </c>
      <c r="U3" s="1" t="s">
        <v>647</v>
      </c>
      <c r="V3" s="1">
        <v>2025</v>
      </c>
      <c r="W3" s="1" t="s">
        <v>994</v>
      </c>
      <c r="X3" s="1" t="s">
        <v>989</v>
      </c>
      <c r="Y3" s="1" t="s">
        <v>310</v>
      </c>
    </row>
    <row r="4" spans="1:25" ht="15.75" x14ac:dyDescent="0.25">
      <c r="A4">
        <v>3</v>
      </c>
      <c r="B4" t="s">
        <v>995</v>
      </c>
      <c r="C4" t="s">
        <v>30</v>
      </c>
      <c r="D4" s="1">
        <v>31</v>
      </c>
      <c r="E4" s="1" t="s">
        <v>996</v>
      </c>
      <c r="F4" s="1" t="s">
        <v>984</v>
      </c>
      <c r="G4" s="1">
        <v>2</v>
      </c>
      <c r="H4" s="1" t="s">
        <v>992</v>
      </c>
      <c r="I4" s="1" t="s">
        <v>997</v>
      </c>
      <c r="J4" s="1" t="s">
        <v>998</v>
      </c>
      <c r="K4" s="1">
        <v>1</v>
      </c>
      <c r="L4" s="1">
        <v>11.8</v>
      </c>
      <c r="M4" s="1">
        <v>13.8</v>
      </c>
      <c r="N4" s="1">
        <v>13.2</v>
      </c>
      <c r="O4" s="1">
        <f t="shared" si="1"/>
        <v>12.933333333333332</v>
      </c>
      <c r="P4" s="1">
        <v>70</v>
      </c>
      <c r="Q4" s="1">
        <v>7</v>
      </c>
      <c r="R4" s="1" t="str">
        <f t="shared" si="0"/>
        <v>Aprovado</v>
      </c>
      <c r="S4" s="1" t="s">
        <v>27</v>
      </c>
      <c r="T4" s="1" t="s">
        <v>27</v>
      </c>
      <c r="U4" s="1" t="s">
        <v>647</v>
      </c>
      <c r="V4" s="1">
        <v>2023</v>
      </c>
      <c r="W4" s="1" t="s">
        <v>994</v>
      </c>
      <c r="X4" s="1" t="s">
        <v>989</v>
      </c>
      <c r="Y4" s="1" t="s">
        <v>310</v>
      </c>
    </row>
    <row r="5" spans="1:25" ht="15.75" x14ac:dyDescent="0.25">
      <c r="A5">
        <v>4</v>
      </c>
      <c r="B5" t="s">
        <v>999</v>
      </c>
      <c r="C5" t="s">
        <v>43</v>
      </c>
      <c r="D5" s="1">
        <v>31</v>
      </c>
      <c r="E5" s="1" t="s">
        <v>991</v>
      </c>
      <c r="F5" s="1" t="s">
        <v>984</v>
      </c>
      <c r="G5" s="1">
        <v>1</v>
      </c>
      <c r="H5" s="1" t="s">
        <v>1000</v>
      </c>
      <c r="I5" s="1" t="s">
        <v>986</v>
      </c>
      <c r="J5" s="1" t="s">
        <v>1001</v>
      </c>
      <c r="K5" s="1">
        <v>2</v>
      </c>
      <c r="L5" s="1">
        <v>16.3</v>
      </c>
      <c r="M5" s="1">
        <v>14.4</v>
      </c>
      <c r="N5" s="1">
        <v>17.100000000000001</v>
      </c>
      <c r="O5" s="1">
        <f t="shared" si="1"/>
        <v>15.933333333333335</v>
      </c>
      <c r="P5" s="1">
        <v>99</v>
      </c>
      <c r="Q5" s="1">
        <v>5</v>
      </c>
      <c r="R5" s="1" t="str">
        <f t="shared" si="0"/>
        <v>Aprovado</v>
      </c>
      <c r="S5" s="1" t="s">
        <v>27</v>
      </c>
      <c r="T5" s="1" t="s">
        <v>40</v>
      </c>
      <c r="U5" s="1" t="s">
        <v>647</v>
      </c>
      <c r="V5" s="1">
        <v>2025</v>
      </c>
      <c r="W5" s="1" t="s">
        <v>988</v>
      </c>
      <c r="X5" s="1" t="s">
        <v>1002</v>
      </c>
      <c r="Y5" s="1" t="s">
        <v>310</v>
      </c>
    </row>
    <row r="6" spans="1:25" ht="15.75" x14ac:dyDescent="0.25">
      <c r="A6">
        <v>5</v>
      </c>
      <c r="B6" t="s">
        <v>1003</v>
      </c>
      <c r="C6" t="s">
        <v>30</v>
      </c>
      <c r="D6" s="1">
        <v>19</v>
      </c>
      <c r="E6" s="1" t="s">
        <v>983</v>
      </c>
      <c r="F6" s="1" t="s">
        <v>984</v>
      </c>
      <c r="G6" s="1">
        <v>1</v>
      </c>
      <c r="H6" s="1" t="s">
        <v>1000</v>
      </c>
      <c r="I6" s="1" t="s">
        <v>1004</v>
      </c>
      <c r="J6" s="1" t="s">
        <v>1005</v>
      </c>
      <c r="K6" s="1">
        <v>2</v>
      </c>
      <c r="L6" s="1">
        <v>12.3</v>
      </c>
      <c r="M6" s="1">
        <v>13.4</v>
      </c>
      <c r="N6" s="1">
        <v>18.2</v>
      </c>
      <c r="O6" s="1">
        <f t="shared" si="1"/>
        <v>14.633333333333335</v>
      </c>
      <c r="P6" s="1">
        <v>98</v>
      </c>
      <c r="Q6" s="1">
        <v>7</v>
      </c>
      <c r="R6" s="1" t="str">
        <f t="shared" si="0"/>
        <v>Aprovado</v>
      </c>
      <c r="S6" s="1" t="s">
        <v>66</v>
      </c>
      <c r="T6" s="1" t="s">
        <v>40</v>
      </c>
      <c r="U6" s="1" t="s">
        <v>653</v>
      </c>
      <c r="V6" s="1">
        <v>2025</v>
      </c>
      <c r="W6" s="1" t="s">
        <v>988</v>
      </c>
      <c r="X6" s="1" t="s">
        <v>1002</v>
      </c>
      <c r="Y6" s="1" t="s">
        <v>310</v>
      </c>
    </row>
    <row r="7" spans="1:25" ht="15.75" x14ac:dyDescent="0.25">
      <c r="A7">
        <v>6</v>
      </c>
      <c r="B7" t="s">
        <v>1006</v>
      </c>
      <c r="C7" t="s">
        <v>30</v>
      </c>
      <c r="D7" s="1">
        <v>34</v>
      </c>
      <c r="E7" s="1" t="s">
        <v>991</v>
      </c>
      <c r="F7" s="1" t="s">
        <v>984</v>
      </c>
      <c r="G7" s="1">
        <v>4</v>
      </c>
      <c r="H7" s="1" t="s">
        <v>985</v>
      </c>
      <c r="I7" s="1" t="s">
        <v>1007</v>
      </c>
      <c r="J7" s="1" t="s">
        <v>1008</v>
      </c>
      <c r="K7" s="1">
        <v>1</v>
      </c>
      <c r="L7" s="1">
        <v>12.5</v>
      </c>
      <c r="M7" s="1">
        <v>9.9</v>
      </c>
      <c r="N7" s="1">
        <v>14.4</v>
      </c>
      <c r="O7" s="1">
        <f t="shared" si="1"/>
        <v>12.266666666666666</v>
      </c>
      <c r="P7" s="1">
        <v>69</v>
      </c>
      <c r="Q7" s="1">
        <v>5</v>
      </c>
      <c r="R7" s="1" t="str">
        <f t="shared" si="0"/>
        <v>Aprovado</v>
      </c>
      <c r="S7" s="1" t="s">
        <v>66</v>
      </c>
      <c r="T7" s="1" t="s">
        <v>40</v>
      </c>
      <c r="U7" s="1" t="s">
        <v>653</v>
      </c>
      <c r="V7" s="1">
        <v>2026</v>
      </c>
      <c r="W7" s="1" t="s">
        <v>994</v>
      </c>
      <c r="X7" s="1" t="s">
        <v>989</v>
      </c>
      <c r="Y7" s="1" t="s">
        <v>310</v>
      </c>
    </row>
    <row r="8" spans="1:25" ht="15.75" x14ac:dyDescent="0.25">
      <c r="A8">
        <v>7</v>
      </c>
      <c r="B8" t="s">
        <v>1009</v>
      </c>
      <c r="C8" t="s">
        <v>43</v>
      </c>
      <c r="D8" s="1">
        <v>27</v>
      </c>
      <c r="E8" s="1" t="s">
        <v>991</v>
      </c>
      <c r="F8" s="1" t="s">
        <v>984</v>
      </c>
      <c r="G8" s="1">
        <v>3</v>
      </c>
      <c r="H8" s="1" t="s">
        <v>1000</v>
      </c>
      <c r="I8" s="1" t="s">
        <v>1010</v>
      </c>
      <c r="J8" s="1" t="s">
        <v>1005</v>
      </c>
      <c r="K8" s="1">
        <v>2</v>
      </c>
      <c r="L8" s="1">
        <v>15.5</v>
      </c>
      <c r="M8" s="1">
        <v>10.3</v>
      </c>
      <c r="N8" s="1">
        <v>10.1</v>
      </c>
      <c r="O8" s="1">
        <f t="shared" si="1"/>
        <v>11.966666666666667</v>
      </c>
      <c r="P8" s="1">
        <v>68</v>
      </c>
      <c r="Q8" s="1">
        <v>4</v>
      </c>
      <c r="R8" s="1" t="str">
        <f t="shared" si="0"/>
        <v>Aprovado</v>
      </c>
      <c r="S8" s="1" t="s">
        <v>49</v>
      </c>
      <c r="T8" s="1" t="s">
        <v>49</v>
      </c>
      <c r="U8" s="1" t="s">
        <v>653</v>
      </c>
      <c r="V8" s="1">
        <v>2025</v>
      </c>
      <c r="W8" s="1" t="s">
        <v>988</v>
      </c>
      <c r="X8" s="1" t="s">
        <v>989</v>
      </c>
      <c r="Y8" s="1" t="s">
        <v>310</v>
      </c>
    </row>
    <row r="9" spans="1:25" ht="15.75" x14ac:dyDescent="0.25">
      <c r="A9">
        <v>8</v>
      </c>
      <c r="B9" t="s">
        <v>1011</v>
      </c>
      <c r="C9" t="s">
        <v>30</v>
      </c>
      <c r="D9" s="1">
        <v>29</v>
      </c>
      <c r="E9" s="1" t="s">
        <v>991</v>
      </c>
      <c r="F9" s="1" t="s">
        <v>984</v>
      </c>
      <c r="G9" s="1">
        <v>2</v>
      </c>
      <c r="H9" s="1" t="s">
        <v>992</v>
      </c>
      <c r="I9" s="1" t="s">
        <v>1012</v>
      </c>
      <c r="J9" s="1" t="s">
        <v>1013</v>
      </c>
      <c r="K9" s="1">
        <v>2</v>
      </c>
      <c r="L9" s="1">
        <v>11.4</v>
      </c>
      <c r="M9" s="1">
        <v>15.1</v>
      </c>
      <c r="N9" s="1">
        <v>16.399999999999999</v>
      </c>
      <c r="O9" s="1">
        <f t="shared" si="1"/>
        <v>14.299999999999999</v>
      </c>
      <c r="P9" s="1">
        <v>88</v>
      </c>
      <c r="Q9" s="1">
        <v>8</v>
      </c>
      <c r="R9" s="1" t="str">
        <f t="shared" si="0"/>
        <v>Aprovado</v>
      </c>
      <c r="S9" s="1" t="s">
        <v>27</v>
      </c>
      <c r="T9" s="1" t="s">
        <v>27</v>
      </c>
      <c r="U9" s="1" t="s">
        <v>647</v>
      </c>
      <c r="V9" s="1">
        <v>2025</v>
      </c>
      <c r="W9" s="1" t="s">
        <v>988</v>
      </c>
      <c r="X9" s="1" t="s">
        <v>1002</v>
      </c>
      <c r="Y9" s="1" t="s">
        <v>310</v>
      </c>
    </row>
    <row r="10" spans="1:25" ht="15.75" x14ac:dyDescent="0.25">
      <c r="A10">
        <v>9</v>
      </c>
      <c r="B10" t="s">
        <v>1014</v>
      </c>
      <c r="C10" t="s">
        <v>43</v>
      </c>
      <c r="D10" s="1">
        <v>23</v>
      </c>
      <c r="E10" s="1" t="s">
        <v>983</v>
      </c>
      <c r="F10" s="1" t="s">
        <v>984</v>
      </c>
      <c r="G10" s="1">
        <v>1</v>
      </c>
      <c r="H10" s="1" t="s">
        <v>1000</v>
      </c>
      <c r="I10" s="1" t="s">
        <v>1010</v>
      </c>
      <c r="J10" s="1" t="s">
        <v>1015</v>
      </c>
      <c r="K10" s="1">
        <v>2</v>
      </c>
      <c r="L10" s="1">
        <v>9.9</v>
      </c>
      <c r="M10" s="1">
        <v>17.899999999999999</v>
      </c>
      <c r="N10" s="1">
        <v>18.399999999999999</v>
      </c>
      <c r="O10" s="1">
        <f t="shared" si="1"/>
        <v>15.399999999999999</v>
      </c>
      <c r="P10" s="1">
        <v>89</v>
      </c>
      <c r="Q10" s="1">
        <v>7</v>
      </c>
      <c r="R10" s="1" t="str">
        <f t="shared" si="0"/>
        <v>Aprovado</v>
      </c>
      <c r="S10" s="1" t="s">
        <v>49</v>
      </c>
      <c r="T10" s="1" t="s">
        <v>49</v>
      </c>
      <c r="U10" s="1" t="s">
        <v>653</v>
      </c>
      <c r="V10" s="1">
        <v>2024</v>
      </c>
      <c r="W10" s="1" t="s">
        <v>994</v>
      </c>
      <c r="X10" s="1" t="s">
        <v>1002</v>
      </c>
      <c r="Y10" s="1" t="s">
        <v>310</v>
      </c>
    </row>
    <row r="11" spans="1:25" ht="15.75" x14ac:dyDescent="0.25">
      <c r="A11">
        <v>10</v>
      </c>
      <c r="B11" t="s">
        <v>1016</v>
      </c>
      <c r="C11" t="s">
        <v>43</v>
      </c>
      <c r="D11" s="1">
        <v>20</v>
      </c>
      <c r="E11" s="1" t="s">
        <v>983</v>
      </c>
      <c r="F11" s="1" t="s">
        <v>984</v>
      </c>
      <c r="G11" s="1">
        <v>2</v>
      </c>
      <c r="H11" s="1" t="s">
        <v>1000</v>
      </c>
      <c r="I11" s="1" t="s">
        <v>1017</v>
      </c>
      <c r="J11" s="1" t="s">
        <v>998</v>
      </c>
      <c r="K11" s="1">
        <v>1</v>
      </c>
      <c r="L11" s="1">
        <v>14.1</v>
      </c>
      <c r="M11" s="1">
        <v>13.8</v>
      </c>
      <c r="N11" s="1">
        <v>12.6</v>
      </c>
      <c r="O11" s="1">
        <f t="shared" si="1"/>
        <v>13.5</v>
      </c>
      <c r="P11" s="1">
        <v>61</v>
      </c>
      <c r="Q11" s="1">
        <v>8</v>
      </c>
      <c r="R11" s="1" t="str">
        <f t="shared" si="0"/>
        <v>Aprovado</v>
      </c>
      <c r="S11" s="1" t="s">
        <v>49</v>
      </c>
      <c r="T11" s="1" t="s">
        <v>40</v>
      </c>
      <c r="U11" s="1" t="s">
        <v>653</v>
      </c>
      <c r="V11" s="1">
        <v>2024</v>
      </c>
      <c r="W11" s="1" t="s">
        <v>988</v>
      </c>
      <c r="X11" s="1" t="s">
        <v>989</v>
      </c>
      <c r="Y11" s="1" t="s">
        <v>310</v>
      </c>
    </row>
    <row r="12" spans="1:25" ht="15.75" x14ac:dyDescent="0.25">
      <c r="A12">
        <v>11</v>
      </c>
      <c r="B12" t="s">
        <v>1018</v>
      </c>
      <c r="C12" t="s">
        <v>43</v>
      </c>
      <c r="D12" s="1">
        <v>26</v>
      </c>
      <c r="E12" s="1" t="s">
        <v>983</v>
      </c>
      <c r="F12" s="1" t="s">
        <v>984</v>
      </c>
      <c r="G12" s="1">
        <v>3</v>
      </c>
      <c r="H12" s="1" t="s">
        <v>992</v>
      </c>
      <c r="I12" s="1" t="s">
        <v>1019</v>
      </c>
      <c r="J12" s="1" t="s">
        <v>1020</v>
      </c>
      <c r="K12" s="1">
        <v>2</v>
      </c>
      <c r="L12" s="1">
        <v>14.8</v>
      </c>
      <c r="M12" s="1">
        <v>14.4</v>
      </c>
      <c r="N12" s="1">
        <v>16.8</v>
      </c>
      <c r="O12" s="1">
        <f t="shared" si="1"/>
        <v>15.333333333333334</v>
      </c>
      <c r="P12" s="1">
        <v>78</v>
      </c>
      <c r="Q12" s="1">
        <v>8</v>
      </c>
      <c r="R12" s="1" t="str">
        <f t="shared" si="0"/>
        <v>Aprovado</v>
      </c>
      <c r="S12" s="1" t="s">
        <v>66</v>
      </c>
      <c r="T12" s="1" t="s">
        <v>27</v>
      </c>
      <c r="U12" s="1" t="s">
        <v>653</v>
      </c>
      <c r="V12" s="1">
        <v>2024</v>
      </c>
      <c r="W12" s="1" t="s">
        <v>988</v>
      </c>
      <c r="X12" s="1" t="s">
        <v>989</v>
      </c>
      <c r="Y12" s="1" t="s">
        <v>310</v>
      </c>
    </row>
    <row r="13" spans="1:25" ht="15.75" x14ac:dyDescent="0.25">
      <c r="A13">
        <v>12</v>
      </c>
      <c r="B13" t="s">
        <v>1021</v>
      </c>
      <c r="C13" t="s">
        <v>30</v>
      </c>
      <c r="D13" s="1">
        <v>25</v>
      </c>
      <c r="E13" s="1" t="s">
        <v>996</v>
      </c>
      <c r="F13" s="1" t="s">
        <v>984</v>
      </c>
      <c r="G13" s="1">
        <v>3</v>
      </c>
      <c r="H13" s="1" t="s">
        <v>1000</v>
      </c>
      <c r="I13" s="1" t="s">
        <v>1022</v>
      </c>
      <c r="J13" s="1" t="s">
        <v>1001</v>
      </c>
      <c r="K13" s="1">
        <v>2</v>
      </c>
      <c r="L13" s="1">
        <v>9.8000000000000007</v>
      </c>
      <c r="M13" s="1">
        <v>15.2</v>
      </c>
      <c r="N13" s="1">
        <v>18.899999999999999</v>
      </c>
      <c r="O13" s="1">
        <f t="shared" si="1"/>
        <v>14.633333333333333</v>
      </c>
      <c r="P13" s="1">
        <v>89</v>
      </c>
      <c r="Q13" s="1">
        <v>4</v>
      </c>
      <c r="R13" s="1" t="str">
        <f t="shared" si="0"/>
        <v>Aprovado</v>
      </c>
      <c r="S13" s="1" t="s">
        <v>66</v>
      </c>
      <c r="T13" s="1" t="s">
        <v>40</v>
      </c>
      <c r="U13" s="1" t="s">
        <v>647</v>
      </c>
      <c r="V13" s="1">
        <v>2024</v>
      </c>
      <c r="W13" s="1" t="s">
        <v>988</v>
      </c>
      <c r="X13" s="1" t="s">
        <v>1002</v>
      </c>
      <c r="Y13" s="1" t="s">
        <v>310</v>
      </c>
    </row>
    <row r="14" spans="1:25" ht="15.75" x14ac:dyDescent="0.25">
      <c r="A14">
        <v>13</v>
      </c>
      <c r="B14" t="s">
        <v>1023</v>
      </c>
      <c r="C14" t="s">
        <v>30</v>
      </c>
      <c r="D14" s="1">
        <v>27</v>
      </c>
      <c r="E14" s="1" t="s">
        <v>996</v>
      </c>
      <c r="F14" s="1" t="s">
        <v>984</v>
      </c>
      <c r="G14" s="1">
        <v>2</v>
      </c>
      <c r="H14" s="1" t="s">
        <v>992</v>
      </c>
      <c r="I14" s="1" t="s">
        <v>1022</v>
      </c>
      <c r="J14" s="1" t="s">
        <v>1001</v>
      </c>
      <c r="K14" s="1">
        <v>2</v>
      </c>
      <c r="L14" s="1">
        <v>8.5</v>
      </c>
      <c r="M14" s="1">
        <v>12.6</v>
      </c>
      <c r="N14" s="1">
        <v>14.5</v>
      </c>
      <c r="O14" s="1">
        <f t="shared" si="1"/>
        <v>11.866666666666667</v>
      </c>
      <c r="P14" s="1">
        <v>66</v>
      </c>
      <c r="Q14" s="1">
        <v>8</v>
      </c>
      <c r="R14" s="1" t="str">
        <f t="shared" si="0"/>
        <v>Aprovado</v>
      </c>
      <c r="S14" s="1" t="s">
        <v>66</v>
      </c>
      <c r="T14" s="1" t="s">
        <v>49</v>
      </c>
      <c r="U14" s="1" t="s">
        <v>653</v>
      </c>
      <c r="V14" s="1">
        <v>2026</v>
      </c>
      <c r="W14" s="1" t="s">
        <v>994</v>
      </c>
      <c r="X14" s="1" t="s">
        <v>1002</v>
      </c>
      <c r="Y14" s="1" t="s">
        <v>310</v>
      </c>
    </row>
    <row r="15" spans="1:25" ht="15.75" x14ac:dyDescent="0.25">
      <c r="A15">
        <v>14</v>
      </c>
      <c r="B15" t="s">
        <v>1024</v>
      </c>
      <c r="C15" t="s">
        <v>30</v>
      </c>
      <c r="D15" s="1">
        <v>22</v>
      </c>
      <c r="E15" s="1" t="s">
        <v>983</v>
      </c>
      <c r="F15" s="1" t="s">
        <v>984</v>
      </c>
      <c r="G15" s="1">
        <v>1</v>
      </c>
      <c r="H15" s="1" t="s">
        <v>1025</v>
      </c>
      <c r="I15" s="1" t="s">
        <v>986</v>
      </c>
      <c r="J15" s="1" t="s">
        <v>1015</v>
      </c>
      <c r="K15" s="1">
        <v>1</v>
      </c>
      <c r="L15" s="1">
        <v>9.5</v>
      </c>
      <c r="M15" s="1">
        <v>10.9</v>
      </c>
      <c r="N15" s="1">
        <v>12.9</v>
      </c>
      <c r="O15" s="1">
        <f t="shared" si="1"/>
        <v>11.1</v>
      </c>
      <c r="P15" s="1">
        <v>85</v>
      </c>
      <c r="Q15" s="1">
        <v>4</v>
      </c>
      <c r="R15" s="1" t="str">
        <f t="shared" si="0"/>
        <v>Aprovado</v>
      </c>
      <c r="S15" s="1" t="s">
        <v>66</v>
      </c>
      <c r="T15" s="1" t="s">
        <v>27</v>
      </c>
      <c r="U15" s="1" t="s">
        <v>653</v>
      </c>
      <c r="V15" s="1">
        <v>2023</v>
      </c>
      <c r="W15" s="1" t="s">
        <v>994</v>
      </c>
      <c r="X15" s="1" t="s">
        <v>989</v>
      </c>
      <c r="Y15" s="1" t="s">
        <v>310</v>
      </c>
    </row>
    <row r="16" spans="1:25" ht="15.75" x14ac:dyDescent="0.25">
      <c r="A16">
        <v>15</v>
      </c>
      <c r="B16" t="s">
        <v>1026</v>
      </c>
      <c r="C16" t="s">
        <v>43</v>
      </c>
      <c r="D16" s="1">
        <v>20</v>
      </c>
      <c r="E16" s="1" t="s">
        <v>996</v>
      </c>
      <c r="F16" s="1" t="s">
        <v>984</v>
      </c>
      <c r="G16" s="1">
        <v>2</v>
      </c>
      <c r="H16" s="1" t="s">
        <v>1025</v>
      </c>
      <c r="I16" s="1" t="s">
        <v>1019</v>
      </c>
      <c r="J16" s="1" t="s">
        <v>1013</v>
      </c>
      <c r="K16" s="1">
        <v>2</v>
      </c>
      <c r="L16" s="1">
        <v>8.8000000000000007</v>
      </c>
      <c r="M16" s="1">
        <v>17</v>
      </c>
      <c r="N16" s="1">
        <v>11.2</v>
      </c>
      <c r="O16" s="1">
        <f t="shared" si="1"/>
        <v>12.333333333333334</v>
      </c>
      <c r="P16" s="1">
        <v>77</v>
      </c>
      <c r="Q16" s="1">
        <v>7</v>
      </c>
      <c r="R16" s="1" t="str">
        <f t="shared" si="0"/>
        <v>Aprovado</v>
      </c>
      <c r="S16" s="1" t="s">
        <v>49</v>
      </c>
      <c r="T16" s="1" t="s">
        <v>27</v>
      </c>
      <c r="U16" s="1" t="s">
        <v>653</v>
      </c>
      <c r="V16" s="1">
        <v>2026</v>
      </c>
      <c r="W16" s="1" t="s">
        <v>994</v>
      </c>
      <c r="X16" s="1" t="s">
        <v>1002</v>
      </c>
      <c r="Y16" s="1" t="s">
        <v>310</v>
      </c>
    </row>
    <row r="17" spans="1:25" ht="15.75" x14ac:dyDescent="0.25">
      <c r="A17">
        <v>16</v>
      </c>
      <c r="B17" t="s">
        <v>1027</v>
      </c>
      <c r="C17" t="s">
        <v>30</v>
      </c>
      <c r="D17" s="1">
        <v>32</v>
      </c>
      <c r="E17" s="1" t="s">
        <v>991</v>
      </c>
      <c r="F17" s="1" t="s">
        <v>984</v>
      </c>
      <c r="G17" s="1">
        <v>4</v>
      </c>
      <c r="H17" s="1" t="s">
        <v>1025</v>
      </c>
      <c r="I17" s="1" t="s">
        <v>1010</v>
      </c>
      <c r="J17" s="1" t="s">
        <v>1005</v>
      </c>
      <c r="K17" s="1">
        <v>2</v>
      </c>
      <c r="L17" s="1">
        <v>17.5</v>
      </c>
      <c r="M17" s="1">
        <v>15.8</v>
      </c>
      <c r="N17" s="1">
        <v>8.5</v>
      </c>
      <c r="O17" s="1">
        <f t="shared" si="1"/>
        <v>13.933333333333332</v>
      </c>
      <c r="P17" s="1">
        <v>75</v>
      </c>
      <c r="Q17" s="1">
        <v>8</v>
      </c>
      <c r="R17" s="1" t="str">
        <f t="shared" si="0"/>
        <v>Aprovado</v>
      </c>
      <c r="S17" s="1" t="s">
        <v>49</v>
      </c>
      <c r="T17" s="1" t="s">
        <v>40</v>
      </c>
      <c r="U17" s="1" t="s">
        <v>647</v>
      </c>
      <c r="V17" s="1">
        <v>2025</v>
      </c>
      <c r="W17" s="1" t="s">
        <v>988</v>
      </c>
      <c r="X17" s="1" t="s">
        <v>989</v>
      </c>
      <c r="Y17" s="1" t="s">
        <v>310</v>
      </c>
    </row>
    <row r="18" spans="1:25" ht="15.75" x14ac:dyDescent="0.25">
      <c r="A18">
        <v>17</v>
      </c>
      <c r="B18" t="s">
        <v>1028</v>
      </c>
      <c r="C18" t="s">
        <v>43</v>
      </c>
      <c r="D18" s="1">
        <v>34</v>
      </c>
      <c r="E18" s="1" t="s">
        <v>991</v>
      </c>
      <c r="F18" s="1" t="s">
        <v>984</v>
      </c>
      <c r="G18" s="1">
        <v>2</v>
      </c>
      <c r="H18" s="1" t="s">
        <v>1025</v>
      </c>
      <c r="I18" s="1" t="s">
        <v>1017</v>
      </c>
      <c r="J18" s="1" t="s">
        <v>1029</v>
      </c>
      <c r="K18" s="1">
        <v>1</v>
      </c>
      <c r="L18" s="1">
        <v>15</v>
      </c>
      <c r="M18" s="1">
        <v>15</v>
      </c>
      <c r="N18" s="1">
        <v>19.399999999999999</v>
      </c>
      <c r="O18" s="1">
        <f t="shared" si="1"/>
        <v>16.466666666666665</v>
      </c>
      <c r="P18" s="1">
        <v>96</v>
      </c>
      <c r="Q18" s="1">
        <v>4</v>
      </c>
      <c r="R18" s="1" t="str">
        <f t="shared" si="0"/>
        <v>Aprovado</v>
      </c>
      <c r="S18" s="1" t="s">
        <v>66</v>
      </c>
      <c r="T18" s="1" t="s">
        <v>40</v>
      </c>
      <c r="U18" s="1" t="s">
        <v>653</v>
      </c>
      <c r="V18" s="1">
        <v>2023</v>
      </c>
      <c r="W18" s="1" t="s">
        <v>988</v>
      </c>
      <c r="X18" s="1" t="s">
        <v>1002</v>
      </c>
      <c r="Y18" s="1" t="s">
        <v>310</v>
      </c>
    </row>
    <row r="19" spans="1:25" ht="15.75" x14ac:dyDescent="0.25">
      <c r="A19">
        <v>18</v>
      </c>
      <c r="B19" t="s">
        <v>1030</v>
      </c>
      <c r="C19" t="s">
        <v>30</v>
      </c>
      <c r="D19" s="1">
        <v>29</v>
      </c>
      <c r="E19" s="1" t="s">
        <v>996</v>
      </c>
      <c r="F19" s="1" t="s">
        <v>984</v>
      </c>
      <c r="G19" s="1">
        <v>1</v>
      </c>
      <c r="H19" s="1" t="s">
        <v>985</v>
      </c>
      <c r="I19" s="1" t="s">
        <v>1012</v>
      </c>
      <c r="J19" s="1" t="s">
        <v>1005</v>
      </c>
      <c r="K19" s="1">
        <v>2</v>
      </c>
      <c r="L19" s="1">
        <v>11.7</v>
      </c>
      <c r="M19" s="1">
        <v>11.2</v>
      </c>
      <c r="N19" s="1">
        <v>9.1</v>
      </c>
      <c r="O19" s="1">
        <f t="shared" si="1"/>
        <v>10.666666666666666</v>
      </c>
      <c r="P19" s="1">
        <v>89</v>
      </c>
      <c r="Q19" s="1">
        <v>4</v>
      </c>
      <c r="R19" s="1" t="str">
        <f t="shared" si="0"/>
        <v>Aprovado</v>
      </c>
      <c r="S19" s="1" t="s">
        <v>49</v>
      </c>
      <c r="T19" s="1" t="s">
        <v>49</v>
      </c>
      <c r="U19" s="1" t="s">
        <v>653</v>
      </c>
      <c r="V19" s="1">
        <v>2022</v>
      </c>
      <c r="W19" s="1" t="s">
        <v>988</v>
      </c>
      <c r="X19" s="1" t="s">
        <v>1002</v>
      </c>
      <c r="Y19" s="1" t="s">
        <v>310</v>
      </c>
    </row>
    <row r="20" spans="1:25" ht="15.75" x14ac:dyDescent="0.25">
      <c r="A20">
        <v>19</v>
      </c>
      <c r="B20" t="s">
        <v>1031</v>
      </c>
      <c r="C20" t="s">
        <v>43</v>
      </c>
      <c r="D20" s="1">
        <v>28</v>
      </c>
      <c r="E20" s="1" t="s">
        <v>983</v>
      </c>
      <c r="F20" s="1" t="s">
        <v>984</v>
      </c>
      <c r="G20" s="1">
        <v>3</v>
      </c>
      <c r="H20" s="1" t="s">
        <v>1000</v>
      </c>
      <c r="I20" s="1" t="s">
        <v>1012</v>
      </c>
      <c r="J20" s="1" t="s">
        <v>1032</v>
      </c>
      <c r="K20" s="1">
        <v>1</v>
      </c>
      <c r="L20" s="1">
        <v>9.6</v>
      </c>
      <c r="M20" s="1">
        <v>8</v>
      </c>
      <c r="N20" s="1">
        <v>10.5</v>
      </c>
      <c r="O20" s="1">
        <f t="shared" si="1"/>
        <v>9.3666666666666671</v>
      </c>
      <c r="P20" s="1">
        <v>78</v>
      </c>
      <c r="Q20" s="1">
        <v>6</v>
      </c>
      <c r="R20" s="1" t="str">
        <f t="shared" si="0"/>
        <v>Reprovado</v>
      </c>
      <c r="S20" s="1" t="s">
        <v>66</v>
      </c>
      <c r="T20" s="1" t="s">
        <v>27</v>
      </c>
      <c r="U20" s="1" t="s">
        <v>647</v>
      </c>
      <c r="V20" s="1">
        <v>2026</v>
      </c>
      <c r="W20" s="1" t="s">
        <v>988</v>
      </c>
      <c r="X20" s="1" t="s">
        <v>989</v>
      </c>
      <c r="Y20" s="1" t="s">
        <v>310</v>
      </c>
    </row>
    <row r="21" spans="1:25" ht="15.75" x14ac:dyDescent="0.25">
      <c r="A21">
        <v>20</v>
      </c>
      <c r="B21" t="s">
        <v>1033</v>
      </c>
      <c r="C21" t="s">
        <v>30</v>
      </c>
      <c r="D21" s="1">
        <v>22</v>
      </c>
      <c r="E21" s="1" t="s">
        <v>991</v>
      </c>
      <c r="F21" s="1" t="s">
        <v>984</v>
      </c>
      <c r="G21" s="1">
        <v>1</v>
      </c>
      <c r="H21" s="1" t="s">
        <v>985</v>
      </c>
      <c r="I21" s="1" t="s">
        <v>1022</v>
      </c>
      <c r="J21" s="1" t="s">
        <v>1034</v>
      </c>
      <c r="K21" s="1">
        <v>1</v>
      </c>
      <c r="L21" s="1">
        <v>8.4</v>
      </c>
      <c r="M21" s="1">
        <v>15.1</v>
      </c>
      <c r="N21" s="1">
        <v>18.8</v>
      </c>
      <c r="O21" s="1">
        <f t="shared" si="1"/>
        <v>14.1</v>
      </c>
      <c r="P21" s="1">
        <v>100</v>
      </c>
      <c r="Q21" s="1">
        <v>5</v>
      </c>
      <c r="R21" s="1" t="str">
        <f t="shared" si="0"/>
        <v>Aprovado</v>
      </c>
      <c r="S21" s="1" t="s">
        <v>49</v>
      </c>
      <c r="T21" s="1" t="s">
        <v>49</v>
      </c>
      <c r="U21" s="1" t="s">
        <v>653</v>
      </c>
      <c r="V21" s="1">
        <v>2022</v>
      </c>
      <c r="W21" s="1" t="s">
        <v>994</v>
      </c>
      <c r="X21" s="1" t="s">
        <v>1002</v>
      </c>
      <c r="Y21" s="1" t="s">
        <v>310</v>
      </c>
    </row>
    <row r="22" spans="1:25" ht="15.75" x14ac:dyDescent="0.25">
      <c r="A22">
        <v>21</v>
      </c>
      <c r="B22" t="s">
        <v>1035</v>
      </c>
      <c r="C22" t="s">
        <v>30</v>
      </c>
      <c r="D22" s="1">
        <v>22</v>
      </c>
      <c r="E22" s="1" t="s">
        <v>991</v>
      </c>
      <c r="F22" s="1" t="s">
        <v>984</v>
      </c>
      <c r="G22" s="1">
        <v>3</v>
      </c>
      <c r="H22" s="1" t="s">
        <v>985</v>
      </c>
      <c r="I22" s="1" t="s">
        <v>1007</v>
      </c>
      <c r="J22" s="1" t="s">
        <v>993</v>
      </c>
      <c r="K22" s="1">
        <v>1</v>
      </c>
      <c r="L22" s="1">
        <v>14.1</v>
      </c>
      <c r="M22" s="1">
        <v>11.1</v>
      </c>
      <c r="N22" s="1">
        <v>8</v>
      </c>
      <c r="O22" s="1">
        <f t="shared" si="1"/>
        <v>11.066666666666668</v>
      </c>
      <c r="P22" s="1">
        <v>81</v>
      </c>
      <c r="Q22" s="1">
        <v>8</v>
      </c>
      <c r="R22" s="1" t="str">
        <f t="shared" si="0"/>
        <v>Aprovado</v>
      </c>
      <c r="S22" s="1" t="s">
        <v>49</v>
      </c>
      <c r="T22" s="1" t="s">
        <v>40</v>
      </c>
      <c r="U22" s="1" t="s">
        <v>647</v>
      </c>
      <c r="V22" s="1">
        <v>2026</v>
      </c>
      <c r="W22" s="1" t="s">
        <v>994</v>
      </c>
      <c r="X22" s="1" t="s">
        <v>1002</v>
      </c>
      <c r="Y22" s="1" t="s">
        <v>310</v>
      </c>
    </row>
    <row r="23" spans="1:25" ht="15.75" x14ac:dyDescent="0.25">
      <c r="A23">
        <v>22</v>
      </c>
      <c r="B23" t="s">
        <v>1036</v>
      </c>
      <c r="C23" t="s">
        <v>43</v>
      </c>
      <c r="D23" s="1">
        <v>30</v>
      </c>
      <c r="E23" s="1" t="s">
        <v>996</v>
      </c>
      <c r="F23" s="1" t="s">
        <v>984</v>
      </c>
      <c r="G23" s="1">
        <v>1</v>
      </c>
      <c r="H23" s="1" t="s">
        <v>1025</v>
      </c>
      <c r="I23" s="1" t="s">
        <v>1010</v>
      </c>
      <c r="J23" s="1" t="s">
        <v>1001</v>
      </c>
      <c r="K23" s="1">
        <v>1</v>
      </c>
      <c r="L23" s="1">
        <v>14.8</v>
      </c>
      <c r="M23" s="1">
        <v>17.2</v>
      </c>
      <c r="N23" s="1">
        <v>9.9</v>
      </c>
      <c r="O23" s="1">
        <f t="shared" si="1"/>
        <v>13.966666666666667</v>
      </c>
      <c r="P23" s="1">
        <v>74</v>
      </c>
      <c r="Q23" s="1">
        <v>4</v>
      </c>
      <c r="R23" s="1" t="str">
        <f t="shared" si="0"/>
        <v>Aprovado</v>
      </c>
      <c r="S23" s="1" t="s">
        <v>27</v>
      </c>
      <c r="T23" s="1" t="s">
        <v>40</v>
      </c>
      <c r="U23" s="1" t="s">
        <v>653</v>
      </c>
      <c r="V23" s="1">
        <v>2026</v>
      </c>
      <c r="W23" s="1" t="s">
        <v>988</v>
      </c>
      <c r="X23" s="1" t="s">
        <v>989</v>
      </c>
      <c r="Y23" s="1" t="s">
        <v>310</v>
      </c>
    </row>
    <row r="24" spans="1:25" ht="15.75" x14ac:dyDescent="0.25">
      <c r="A24">
        <v>23</v>
      </c>
      <c r="B24" t="s">
        <v>1037</v>
      </c>
      <c r="C24" t="s">
        <v>43</v>
      </c>
      <c r="D24" s="1">
        <v>19</v>
      </c>
      <c r="E24" s="1" t="s">
        <v>991</v>
      </c>
      <c r="F24" s="1" t="s">
        <v>984</v>
      </c>
      <c r="G24" s="1">
        <v>4</v>
      </c>
      <c r="H24" s="1" t="s">
        <v>1025</v>
      </c>
      <c r="I24" s="1" t="s">
        <v>1019</v>
      </c>
      <c r="J24" s="1" t="s">
        <v>993</v>
      </c>
      <c r="K24" s="1">
        <v>1</v>
      </c>
      <c r="L24" s="1">
        <v>15.8</v>
      </c>
      <c r="M24" s="1">
        <v>16.600000000000001</v>
      </c>
      <c r="N24" s="1">
        <v>9.5</v>
      </c>
      <c r="O24" s="1">
        <f t="shared" si="1"/>
        <v>13.966666666666669</v>
      </c>
      <c r="P24" s="1">
        <v>61</v>
      </c>
      <c r="Q24" s="1">
        <v>5</v>
      </c>
      <c r="R24" s="1" t="str">
        <f t="shared" si="0"/>
        <v>Aprovado</v>
      </c>
      <c r="S24" s="1" t="s">
        <v>27</v>
      </c>
      <c r="T24" s="1" t="s">
        <v>27</v>
      </c>
      <c r="U24" s="1" t="s">
        <v>653</v>
      </c>
      <c r="V24" s="1">
        <v>2022</v>
      </c>
      <c r="W24" s="1" t="s">
        <v>994</v>
      </c>
      <c r="X24" s="1" t="s">
        <v>1002</v>
      </c>
      <c r="Y24" s="1" t="s">
        <v>310</v>
      </c>
    </row>
    <row r="25" spans="1:25" ht="15.75" x14ac:dyDescent="0.25">
      <c r="A25">
        <v>24</v>
      </c>
      <c r="B25" t="s">
        <v>1038</v>
      </c>
      <c r="C25" t="s">
        <v>30</v>
      </c>
      <c r="D25" s="1">
        <v>34</v>
      </c>
      <c r="E25" s="1" t="s">
        <v>991</v>
      </c>
      <c r="F25" s="1" t="s">
        <v>984</v>
      </c>
      <c r="G25" s="1">
        <v>3</v>
      </c>
      <c r="H25" s="1" t="s">
        <v>985</v>
      </c>
      <c r="I25" s="1" t="s">
        <v>1007</v>
      </c>
      <c r="J25" s="1" t="s">
        <v>993</v>
      </c>
      <c r="K25" s="1">
        <v>2</v>
      </c>
      <c r="L25" s="1">
        <v>13.3</v>
      </c>
      <c r="M25" s="1">
        <v>13.6</v>
      </c>
      <c r="N25" s="1">
        <v>11.2</v>
      </c>
      <c r="O25" s="1">
        <f t="shared" si="1"/>
        <v>12.699999999999998</v>
      </c>
      <c r="P25" s="1">
        <v>92</v>
      </c>
      <c r="Q25" s="1">
        <v>7</v>
      </c>
      <c r="R25" s="1" t="str">
        <f t="shared" si="0"/>
        <v>Aprovado</v>
      </c>
      <c r="S25" s="1" t="s">
        <v>66</v>
      </c>
      <c r="T25" s="1" t="s">
        <v>40</v>
      </c>
      <c r="U25" s="1" t="s">
        <v>653</v>
      </c>
      <c r="V25" s="1">
        <v>2023</v>
      </c>
      <c r="W25" s="1" t="s">
        <v>994</v>
      </c>
      <c r="X25" s="1" t="s">
        <v>989</v>
      </c>
      <c r="Y25" s="1" t="s">
        <v>310</v>
      </c>
    </row>
    <row r="26" spans="1:25" ht="15.75" x14ac:dyDescent="0.25">
      <c r="A26">
        <v>25</v>
      </c>
      <c r="B26" t="s">
        <v>1039</v>
      </c>
      <c r="C26" t="s">
        <v>30</v>
      </c>
      <c r="D26" s="1">
        <v>20</v>
      </c>
      <c r="E26" s="1" t="s">
        <v>996</v>
      </c>
      <c r="F26" s="1" t="s">
        <v>984</v>
      </c>
      <c r="G26" s="1">
        <v>4</v>
      </c>
      <c r="H26" s="1" t="s">
        <v>1000</v>
      </c>
      <c r="I26" s="1" t="s">
        <v>1012</v>
      </c>
      <c r="J26" s="1" t="s">
        <v>1015</v>
      </c>
      <c r="K26" s="1">
        <v>2</v>
      </c>
      <c r="L26" s="1">
        <v>15.2</v>
      </c>
      <c r="M26" s="1">
        <v>17.899999999999999</v>
      </c>
      <c r="N26" s="1">
        <v>8.6999999999999993</v>
      </c>
      <c r="O26" s="1">
        <f t="shared" si="1"/>
        <v>13.933333333333332</v>
      </c>
      <c r="P26" s="1">
        <v>61</v>
      </c>
      <c r="Q26" s="1">
        <v>4</v>
      </c>
      <c r="R26" s="1" t="str">
        <f t="shared" si="0"/>
        <v>Aprovado</v>
      </c>
      <c r="S26" s="1" t="s">
        <v>27</v>
      </c>
      <c r="T26" s="1" t="s">
        <v>40</v>
      </c>
      <c r="U26" s="1" t="s">
        <v>647</v>
      </c>
      <c r="V26" s="1">
        <v>2026</v>
      </c>
      <c r="W26" s="1" t="s">
        <v>994</v>
      </c>
      <c r="X26" s="1" t="s">
        <v>989</v>
      </c>
      <c r="Y26" s="1" t="s">
        <v>310</v>
      </c>
    </row>
    <row r="27" spans="1:25" ht="15.75" x14ac:dyDescent="0.25">
      <c r="A27">
        <v>26</v>
      </c>
      <c r="B27" t="s">
        <v>1040</v>
      </c>
      <c r="C27" t="s">
        <v>30</v>
      </c>
      <c r="D27" s="1">
        <v>30</v>
      </c>
      <c r="E27" s="1" t="s">
        <v>983</v>
      </c>
      <c r="F27" s="1" t="s">
        <v>984</v>
      </c>
      <c r="G27" s="1">
        <v>1</v>
      </c>
      <c r="H27" s="1" t="s">
        <v>985</v>
      </c>
      <c r="I27" s="1" t="s">
        <v>1041</v>
      </c>
      <c r="J27" s="1" t="s">
        <v>1005</v>
      </c>
      <c r="K27" s="1">
        <v>1</v>
      </c>
      <c r="L27" s="1">
        <v>8.3000000000000007</v>
      </c>
      <c r="M27" s="1">
        <v>16.600000000000001</v>
      </c>
      <c r="N27" s="1">
        <v>14.1</v>
      </c>
      <c r="O27" s="1">
        <f t="shared" si="1"/>
        <v>13</v>
      </c>
      <c r="P27" s="1">
        <v>81</v>
      </c>
      <c r="Q27" s="1">
        <v>5</v>
      </c>
      <c r="R27" s="1" t="str">
        <f t="shared" si="0"/>
        <v>Aprovado</v>
      </c>
      <c r="S27" s="1" t="s">
        <v>66</v>
      </c>
      <c r="T27" s="1" t="s">
        <v>27</v>
      </c>
      <c r="U27" s="1" t="s">
        <v>653</v>
      </c>
      <c r="V27" s="1">
        <v>2024</v>
      </c>
      <c r="W27" s="1" t="s">
        <v>994</v>
      </c>
      <c r="X27" s="1" t="s">
        <v>989</v>
      </c>
      <c r="Y27" s="1" t="s">
        <v>310</v>
      </c>
    </row>
    <row r="28" spans="1:25" ht="15.75" x14ac:dyDescent="0.25">
      <c r="A28">
        <v>27</v>
      </c>
      <c r="B28" t="s">
        <v>1042</v>
      </c>
      <c r="C28" t="s">
        <v>30</v>
      </c>
      <c r="D28" s="1">
        <v>34</v>
      </c>
      <c r="E28" s="1" t="s">
        <v>996</v>
      </c>
      <c r="F28" s="1" t="s">
        <v>984</v>
      </c>
      <c r="G28" s="1">
        <v>4</v>
      </c>
      <c r="H28" s="1" t="s">
        <v>985</v>
      </c>
      <c r="I28" s="1" t="s">
        <v>1010</v>
      </c>
      <c r="J28" s="1" t="s">
        <v>1043</v>
      </c>
      <c r="K28" s="1">
        <v>2</v>
      </c>
      <c r="L28" s="1">
        <v>10</v>
      </c>
      <c r="M28" s="1">
        <v>12.4</v>
      </c>
      <c r="N28" s="1">
        <v>18.100000000000001</v>
      </c>
      <c r="O28" s="1">
        <f t="shared" si="1"/>
        <v>13.5</v>
      </c>
      <c r="P28" s="1">
        <v>72</v>
      </c>
      <c r="Q28" s="1">
        <v>4</v>
      </c>
      <c r="R28" s="1" t="str">
        <f t="shared" si="0"/>
        <v>Aprovado</v>
      </c>
      <c r="S28" s="1" t="s">
        <v>66</v>
      </c>
      <c r="T28" s="1" t="s">
        <v>49</v>
      </c>
      <c r="U28" s="1" t="s">
        <v>653</v>
      </c>
      <c r="V28" s="1">
        <v>2023</v>
      </c>
      <c r="W28" s="1" t="s">
        <v>988</v>
      </c>
      <c r="X28" s="1" t="s">
        <v>989</v>
      </c>
      <c r="Y28" s="1" t="s">
        <v>310</v>
      </c>
    </row>
    <row r="29" spans="1:25" ht="15.75" x14ac:dyDescent="0.25">
      <c r="A29">
        <v>28</v>
      </c>
      <c r="B29" t="s">
        <v>1044</v>
      </c>
      <c r="C29" t="s">
        <v>43</v>
      </c>
      <c r="D29" s="1">
        <v>25</v>
      </c>
      <c r="E29" s="1" t="s">
        <v>996</v>
      </c>
      <c r="F29" s="1" t="s">
        <v>984</v>
      </c>
      <c r="G29" s="1">
        <v>1</v>
      </c>
      <c r="H29" s="1" t="s">
        <v>1025</v>
      </c>
      <c r="I29" s="1" t="s">
        <v>1010</v>
      </c>
      <c r="J29" s="1" t="s">
        <v>1032</v>
      </c>
      <c r="K29" s="1">
        <v>2</v>
      </c>
      <c r="L29" s="1">
        <v>12.8</v>
      </c>
      <c r="M29" s="1">
        <v>11</v>
      </c>
      <c r="N29" s="1">
        <v>14.9</v>
      </c>
      <c r="O29" s="1">
        <f t="shared" si="1"/>
        <v>12.9</v>
      </c>
      <c r="P29" s="1">
        <v>88</v>
      </c>
      <c r="Q29" s="1">
        <v>8</v>
      </c>
      <c r="R29" s="1" t="str">
        <f t="shared" si="0"/>
        <v>Aprovado</v>
      </c>
      <c r="S29" s="1" t="s">
        <v>27</v>
      </c>
      <c r="T29" s="1" t="s">
        <v>27</v>
      </c>
      <c r="U29" s="1" t="s">
        <v>647</v>
      </c>
      <c r="V29" s="1">
        <v>2022</v>
      </c>
      <c r="W29" s="1" t="s">
        <v>988</v>
      </c>
      <c r="X29" s="1" t="s">
        <v>1002</v>
      </c>
      <c r="Y29" s="1" t="s">
        <v>310</v>
      </c>
    </row>
    <row r="30" spans="1:25" ht="15.75" x14ac:dyDescent="0.25">
      <c r="A30">
        <v>29</v>
      </c>
      <c r="B30" t="s">
        <v>1045</v>
      </c>
      <c r="C30" t="s">
        <v>30</v>
      </c>
      <c r="D30" s="1">
        <v>31</v>
      </c>
      <c r="E30" s="1" t="s">
        <v>991</v>
      </c>
      <c r="F30" s="1" t="s">
        <v>984</v>
      </c>
      <c r="G30" s="1">
        <v>1</v>
      </c>
      <c r="H30" s="1" t="s">
        <v>1000</v>
      </c>
      <c r="I30" s="1" t="s">
        <v>1010</v>
      </c>
      <c r="J30" s="1" t="s">
        <v>1001</v>
      </c>
      <c r="K30" s="1">
        <v>2</v>
      </c>
      <c r="L30" s="1">
        <v>11.1</v>
      </c>
      <c r="M30" s="1">
        <v>8.6999999999999993</v>
      </c>
      <c r="N30" s="1">
        <v>10.7</v>
      </c>
      <c r="O30" s="1">
        <f t="shared" si="1"/>
        <v>10.166666666666666</v>
      </c>
      <c r="P30" s="1">
        <v>65</v>
      </c>
      <c r="Q30" s="1">
        <v>7</v>
      </c>
      <c r="R30" s="1" t="str">
        <f t="shared" si="0"/>
        <v>Aprovado</v>
      </c>
      <c r="S30" s="1" t="s">
        <v>49</v>
      </c>
      <c r="T30" s="1" t="s">
        <v>40</v>
      </c>
      <c r="U30" s="1" t="s">
        <v>647</v>
      </c>
      <c r="V30" s="1">
        <v>2022</v>
      </c>
      <c r="W30" s="1" t="s">
        <v>988</v>
      </c>
      <c r="X30" s="1" t="s">
        <v>1002</v>
      </c>
      <c r="Y30" s="1" t="s">
        <v>310</v>
      </c>
    </row>
    <row r="31" spans="1:25" ht="15.75" x14ac:dyDescent="0.25">
      <c r="A31">
        <v>30</v>
      </c>
      <c r="B31" t="s">
        <v>1046</v>
      </c>
      <c r="C31" t="s">
        <v>30</v>
      </c>
      <c r="D31" s="1">
        <v>24</v>
      </c>
      <c r="E31" s="1" t="s">
        <v>991</v>
      </c>
      <c r="F31" s="1" t="s">
        <v>984</v>
      </c>
      <c r="G31" s="1">
        <v>4</v>
      </c>
      <c r="H31" s="1" t="s">
        <v>992</v>
      </c>
      <c r="I31" s="1" t="s">
        <v>1022</v>
      </c>
      <c r="J31" s="1" t="s">
        <v>1032</v>
      </c>
      <c r="K31" s="1">
        <v>2</v>
      </c>
      <c r="L31" s="1">
        <v>11.7</v>
      </c>
      <c r="M31" s="1">
        <v>16.100000000000001</v>
      </c>
      <c r="N31" s="1">
        <v>11.3</v>
      </c>
      <c r="O31" s="1">
        <f t="shared" si="1"/>
        <v>13.033333333333333</v>
      </c>
      <c r="P31" s="1">
        <v>96</v>
      </c>
      <c r="Q31" s="1">
        <v>8</v>
      </c>
      <c r="R31" s="1" t="str">
        <f t="shared" si="0"/>
        <v>Aprovado</v>
      </c>
      <c r="S31" s="1" t="s">
        <v>49</v>
      </c>
      <c r="T31" s="1" t="s">
        <v>27</v>
      </c>
      <c r="U31" s="1" t="s">
        <v>647</v>
      </c>
      <c r="V31" s="1">
        <v>2023</v>
      </c>
      <c r="W31" s="1" t="s">
        <v>994</v>
      </c>
      <c r="X31" s="1" t="s">
        <v>989</v>
      </c>
      <c r="Y31" s="1" t="s">
        <v>310</v>
      </c>
    </row>
    <row r="32" spans="1:25" ht="15.75" x14ac:dyDescent="0.25">
      <c r="A32">
        <v>31</v>
      </c>
      <c r="B32" t="s">
        <v>1047</v>
      </c>
      <c r="C32" t="s">
        <v>43</v>
      </c>
      <c r="D32" s="1">
        <v>28</v>
      </c>
      <c r="E32" s="1" t="s">
        <v>996</v>
      </c>
      <c r="F32" s="1" t="s">
        <v>984</v>
      </c>
      <c r="G32" s="1">
        <v>1</v>
      </c>
      <c r="H32" s="1" t="s">
        <v>992</v>
      </c>
      <c r="I32" s="1" t="s">
        <v>1048</v>
      </c>
      <c r="J32" s="1" t="s">
        <v>1049</v>
      </c>
      <c r="K32" s="1">
        <v>2</v>
      </c>
      <c r="L32" s="1">
        <v>10.7</v>
      </c>
      <c r="M32" s="1">
        <v>13.7</v>
      </c>
      <c r="N32" s="1">
        <v>13.2</v>
      </c>
      <c r="O32" s="1">
        <f t="shared" si="1"/>
        <v>12.533333333333331</v>
      </c>
      <c r="P32" s="1">
        <v>92</v>
      </c>
      <c r="Q32" s="1">
        <v>6</v>
      </c>
      <c r="R32" s="1" t="str">
        <f t="shared" si="0"/>
        <v>Aprovado</v>
      </c>
      <c r="S32" s="1" t="s">
        <v>49</v>
      </c>
      <c r="T32" s="1" t="s">
        <v>27</v>
      </c>
      <c r="U32" s="1" t="s">
        <v>647</v>
      </c>
      <c r="V32" s="1">
        <v>2022</v>
      </c>
      <c r="W32" s="1" t="s">
        <v>994</v>
      </c>
      <c r="X32" s="1" t="s">
        <v>1002</v>
      </c>
      <c r="Y32" s="1" t="s">
        <v>310</v>
      </c>
    </row>
    <row r="33" spans="1:25" ht="15.75" x14ac:dyDescent="0.25">
      <c r="A33">
        <v>32</v>
      </c>
      <c r="B33" t="s">
        <v>1050</v>
      </c>
      <c r="C33" t="s">
        <v>43</v>
      </c>
      <c r="D33" s="1">
        <v>29</v>
      </c>
      <c r="E33" s="1" t="s">
        <v>991</v>
      </c>
      <c r="F33" s="1" t="s">
        <v>984</v>
      </c>
      <c r="G33" s="1">
        <v>2</v>
      </c>
      <c r="H33" s="1" t="s">
        <v>992</v>
      </c>
      <c r="I33" s="1" t="s">
        <v>1017</v>
      </c>
      <c r="J33" s="1" t="s">
        <v>1049</v>
      </c>
      <c r="K33" s="1">
        <v>1</v>
      </c>
      <c r="L33" s="1">
        <v>16.5</v>
      </c>
      <c r="M33" s="1">
        <v>9.3000000000000007</v>
      </c>
      <c r="N33" s="1">
        <v>14.2</v>
      </c>
      <c r="O33" s="1">
        <f t="shared" si="1"/>
        <v>13.333333333333334</v>
      </c>
      <c r="P33" s="1">
        <v>80</v>
      </c>
      <c r="Q33" s="1">
        <v>7</v>
      </c>
      <c r="R33" s="1" t="str">
        <f t="shared" si="0"/>
        <v>Aprovado</v>
      </c>
      <c r="S33" s="1" t="s">
        <v>27</v>
      </c>
      <c r="T33" s="1" t="s">
        <v>49</v>
      </c>
      <c r="U33" s="1" t="s">
        <v>647</v>
      </c>
      <c r="V33" s="1">
        <v>2022</v>
      </c>
      <c r="W33" s="1" t="s">
        <v>994</v>
      </c>
      <c r="X33" s="1" t="s">
        <v>989</v>
      </c>
      <c r="Y33" s="1" t="s">
        <v>310</v>
      </c>
    </row>
    <row r="34" spans="1:25" ht="15.75" x14ac:dyDescent="0.25">
      <c r="A34">
        <v>33</v>
      </c>
      <c r="B34" t="s">
        <v>1051</v>
      </c>
      <c r="C34" t="s">
        <v>30</v>
      </c>
      <c r="D34" s="1">
        <v>33</v>
      </c>
      <c r="E34" s="1" t="s">
        <v>996</v>
      </c>
      <c r="F34" s="1" t="s">
        <v>984</v>
      </c>
      <c r="G34" s="1">
        <v>2</v>
      </c>
      <c r="H34" s="1" t="s">
        <v>1000</v>
      </c>
      <c r="I34" s="1" t="s">
        <v>1022</v>
      </c>
      <c r="J34" s="1" t="s">
        <v>1034</v>
      </c>
      <c r="K34" s="1">
        <v>1</v>
      </c>
      <c r="L34" s="1">
        <v>17.3</v>
      </c>
      <c r="M34" s="1">
        <v>14</v>
      </c>
      <c r="N34" s="1">
        <v>8.4</v>
      </c>
      <c r="O34" s="1">
        <f t="shared" si="1"/>
        <v>13.233333333333334</v>
      </c>
      <c r="P34" s="1">
        <v>70</v>
      </c>
      <c r="Q34" s="1">
        <v>5</v>
      </c>
      <c r="R34" s="1" t="str">
        <f t="shared" ref="R34:R66" si="2">IF(O34&gt;=10,"Aprovado","Reprovado")</f>
        <v>Aprovado</v>
      </c>
      <c r="S34" s="1" t="s">
        <v>49</v>
      </c>
      <c r="T34" s="1" t="s">
        <v>40</v>
      </c>
      <c r="U34" s="1" t="s">
        <v>653</v>
      </c>
      <c r="V34" s="1">
        <v>2025</v>
      </c>
      <c r="W34" s="1" t="s">
        <v>994</v>
      </c>
      <c r="X34" s="1" t="s">
        <v>989</v>
      </c>
      <c r="Y34" s="1" t="s">
        <v>310</v>
      </c>
    </row>
    <row r="35" spans="1:25" ht="15.75" x14ac:dyDescent="0.25">
      <c r="A35">
        <v>34</v>
      </c>
      <c r="B35" t="s">
        <v>1052</v>
      </c>
      <c r="C35" t="s">
        <v>30</v>
      </c>
      <c r="D35" s="1">
        <v>26</v>
      </c>
      <c r="E35" s="1" t="s">
        <v>991</v>
      </c>
      <c r="F35" s="1" t="s">
        <v>984</v>
      </c>
      <c r="G35" s="1">
        <v>4</v>
      </c>
      <c r="H35" s="1" t="s">
        <v>1000</v>
      </c>
      <c r="I35" s="1" t="s">
        <v>1007</v>
      </c>
      <c r="J35" s="1" t="s">
        <v>1049</v>
      </c>
      <c r="K35" s="1">
        <v>2</v>
      </c>
      <c r="L35" s="1">
        <v>15.6</v>
      </c>
      <c r="M35" s="1">
        <v>15.8</v>
      </c>
      <c r="N35" s="1">
        <v>19.5</v>
      </c>
      <c r="O35" s="1">
        <f t="shared" si="1"/>
        <v>16.966666666666665</v>
      </c>
      <c r="P35" s="1">
        <v>64</v>
      </c>
      <c r="Q35" s="1">
        <v>4</v>
      </c>
      <c r="R35" s="1" t="str">
        <f t="shared" si="2"/>
        <v>Aprovado</v>
      </c>
      <c r="S35" s="1" t="s">
        <v>27</v>
      </c>
      <c r="T35" s="1" t="s">
        <v>40</v>
      </c>
      <c r="U35" s="1" t="s">
        <v>647</v>
      </c>
      <c r="V35" s="1">
        <v>2024</v>
      </c>
      <c r="W35" s="1" t="s">
        <v>988</v>
      </c>
      <c r="X35" s="1" t="s">
        <v>1002</v>
      </c>
      <c r="Y35" s="1" t="s">
        <v>310</v>
      </c>
    </row>
    <row r="36" spans="1:25" ht="15.75" x14ac:dyDescent="0.25">
      <c r="A36">
        <v>35</v>
      </c>
      <c r="B36" t="s">
        <v>1053</v>
      </c>
      <c r="C36" t="s">
        <v>43</v>
      </c>
      <c r="D36" s="1">
        <v>26</v>
      </c>
      <c r="E36" s="1" t="s">
        <v>991</v>
      </c>
      <c r="F36" s="1" t="s">
        <v>984</v>
      </c>
      <c r="G36" s="1">
        <v>2</v>
      </c>
      <c r="H36" s="1" t="s">
        <v>992</v>
      </c>
      <c r="I36" s="1" t="s">
        <v>1054</v>
      </c>
      <c r="J36" s="1" t="s">
        <v>1043</v>
      </c>
      <c r="K36" s="1">
        <v>1</v>
      </c>
      <c r="L36" s="1">
        <v>15.4</v>
      </c>
      <c r="M36" s="1">
        <v>15.6</v>
      </c>
      <c r="N36" s="1">
        <v>13.3</v>
      </c>
      <c r="O36" s="1">
        <f t="shared" si="1"/>
        <v>14.766666666666666</v>
      </c>
      <c r="P36" s="1">
        <v>87</v>
      </c>
      <c r="Q36" s="1">
        <v>4</v>
      </c>
      <c r="R36" s="1" t="str">
        <f t="shared" si="2"/>
        <v>Aprovado</v>
      </c>
      <c r="S36" s="1" t="s">
        <v>66</v>
      </c>
      <c r="T36" s="1" t="s">
        <v>40</v>
      </c>
      <c r="U36" s="1" t="s">
        <v>647</v>
      </c>
      <c r="V36" s="1">
        <v>2024</v>
      </c>
      <c r="W36" s="1" t="s">
        <v>988</v>
      </c>
      <c r="X36" s="1" t="s">
        <v>1002</v>
      </c>
      <c r="Y36" s="1" t="s">
        <v>310</v>
      </c>
    </row>
    <row r="37" spans="1:25" ht="15.75" x14ac:dyDescent="0.25">
      <c r="A37">
        <v>36</v>
      </c>
      <c r="B37" t="s">
        <v>1055</v>
      </c>
      <c r="C37" t="s">
        <v>43</v>
      </c>
      <c r="D37" s="1">
        <v>35</v>
      </c>
      <c r="E37" s="1" t="s">
        <v>991</v>
      </c>
      <c r="F37" s="1" t="s">
        <v>984</v>
      </c>
      <c r="G37" s="1">
        <v>4</v>
      </c>
      <c r="H37" s="1" t="s">
        <v>985</v>
      </c>
      <c r="I37" s="1" t="s">
        <v>1019</v>
      </c>
      <c r="J37" s="1" t="s">
        <v>987</v>
      </c>
      <c r="K37" s="1">
        <v>2</v>
      </c>
      <c r="L37" s="1">
        <v>17.899999999999999</v>
      </c>
      <c r="M37" s="1">
        <v>13.8</v>
      </c>
      <c r="N37" s="1">
        <v>17.3</v>
      </c>
      <c r="O37" s="1">
        <f t="shared" si="1"/>
        <v>16.333333333333332</v>
      </c>
      <c r="P37" s="1">
        <v>92</v>
      </c>
      <c r="Q37" s="1">
        <v>7</v>
      </c>
      <c r="R37" s="1" t="str">
        <f t="shared" si="2"/>
        <v>Aprovado</v>
      </c>
      <c r="S37" s="1" t="s">
        <v>49</v>
      </c>
      <c r="T37" s="1" t="s">
        <v>40</v>
      </c>
      <c r="U37" s="1" t="s">
        <v>647</v>
      </c>
      <c r="V37" s="1">
        <v>2026</v>
      </c>
      <c r="W37" s="1" t="s">
        <v>994</v>
      </c>
      <c r="X37" s="1" t="s">
        <v>1002</v>
      </c>
      <c r="Y37" s="1" t="s">
        <v>310</v>
      </c>
    </row>
    <row r="38" spans="1:25" ht="15.75" x14ac:dyDescent="0.25">
      <c r="A38">
        <v>37</v>
      </c>
      <c r="B38" t="s">
        <v>1056</v>
      </c>
      <c r="C38" t="s">
        <v>43</v>
      </c>
      <c r="D38" s="1">
        <v>34</v>
      </c>
      <c r="E38" s="1" t="s">
        <v>996</v>
      </c>
      <c r="F38" s="1" t="s">
        <v>984</v>
      </c>
      <c r="G38" s="1">
        <v>2</v>
      </c>
      <c r="H38" s="1" t="s">
        <v>985</v>
      </c>
      <c r="I38" s="1" t="s">
        <v>986</v>
      </c>
      <c r="J38" s="1" t="s">
        <v>1043</v>
      </c>
      <c r="K38" s="1">
        <v>1</v>
      </c>
      <c r="L38" s="1">
        <v>16.899999999999999</v>
      </c>
      <c r="M38" s="1">
        <v>11.2</v>
      </c>
      <c r="N38" s="1">
        <v>8.3000000000000007</v>
      </c>
      <c r="O38" s="1">
        <f t="shared" si="1"/>
        <v>12.133333333333333</v>
      </c>
      <c r="P38" s="1">
        <v>64</v>
      </c>
      <c r="Q38" s="1">
        <v>5</v>
      </c>
      <c r="R38" s="1" t="str">
        <f t="shared" si="2"/>
        <v>Aprovado</v>
      </c>
      <c r="S38" s="1" t="s">
        <v>49</v>
      </c>
      <c r="T38" s="1" t="s">
        <v>27</v>
      </c>
      <c r="U38" s="1" t="s">
        <v>653</v>
      </c>
      <c r="V38" s="1">
        <v>2025</v>
      </c>
      <c r="W38" s="1" t="s">
        <v>988</v>
      </c>
      <c r="X38" s="1" t="s">
        <v>1002</v>
      </c>
      <c r="Y38" s="1" t="s">
        <v>310</v>
      </c>
    </row>
    <row r="39" spans="1:25" ht="15.75" x14ac:dyDescent="0.25">
      <c r="A39">
        <v>38</v>
      </c>
      <c r="B39" t="s">
        <v>1057</v>
      </c>
      <c r="C39" t="s">
        <v>43</v>
      </c>
      <c r="D39" s="1">
        <v>30</v>
      </c>
      <c r="E39" s="1" t="s">
        <v>991</v>
      </c>
      <c r="F39" s="1" t="s">
        <v>984</v>
      </c>
      <c r="G39" s="1">
        <v>4</v>
      </c>
      <c r="H39" s="1" t="s">
        <v>985</v>
      </c>
      <c r="I39" s="1" t="s">
        <v>986</v>
      </c>
      <c r="J39" s="1" t="s">
        <v>993</v>
      </c>
      <c r="K39" s="1">
        <v>2</v>
      </c>
      <c r="L39" s="1">
        <v>13.4</v>
      </c>
      <c r="M39" s="1">
        <v>16.3</v>
      </c>
      <c r="N39" s="1">
        <v>13.6</v>
      </c>
      <c r="O39" s="1">
        <f t="shared" si="1"/>
        <v>14.433333333333335</v>
      </c>
      <c r="P39" s="1">
        <v>73</v>
      </c>
      <c r="Q39" s="1">
        <v>6</v>
      </c>
      <c r="R39" s="1" t="str">
        <f t="shared" si="2"/>
        <v>Aprovado</v>
      </c>
      <c r="S39" s="1" t="s">
        <v>27</v>
      </c>
      <c r="T39" s="1" t="s">
        <v>40</v>
      </c>
      <c r="U39" s="1" t="s">
        <v>653</v>
      </c>
      <c r="V39" s="1">
        <v>2022</v>
      </c>
      <c r="W39" s="1" t="s">
        <v>994</v>
      </c>
      <c r="X39" s="1" t="s">
        <v>1002</v>
      </c>
      <c r="Y39" s="1" t="s">
        <v>310</v>
      </c>
    </row>
    <row r="40" spans="1:25" ht="15.75" x14ac:dyDescent="0.25">
      <c r="A40">
        <v>39</v>
      </c>
      <c r="B40" t="s">
        <v>1058</v>
      </c>
      <c r="C40" t="s">
        <v>43</v>
      </c>
      <c r="D40" s="1">
        <v>29</v>
      </c>
      <c r="E40" s="1" t="s">
        <v>983</v>
      </c>
      <c r="F40" s="1" t="s">
        <v>984</v>
      </c>
      <c r="G40" s="1">
        <v>3</v>
      </c>
      <c r="H40" s="1" t="s">
        <v>1025</v>
      </c>
      <c r="I40" s="1" t="s">
        <v>1010</v>
      </c>
      <c r="J40" s="1" t="s">
        <v>1008</v>
      </c>
      <c r="K40" s="1">
        <v>2</v>
      </c>
      <c r="L40" s="1">
        <v>11</v>
      </c>
      <c r="M40" s="1">
        <v>12.6</v>
      </c>
      <c r="N40" s="1">
        <v>11.5</v>
      </c>
      <c r="O40" s="1">
        <f t="shared" si="1"/>
        <v>11.700000000000001</v>
      </c>
      <c r="P40" s="1">
        <v>92</v>
      </c>
      <c r="Q40" s="1">
        <v>6</v>
      </c>
      <c r="R40" s="1" t="str">
        <f t="shared" si="2"/>
        <v>Aprovado</v>
      </c>
      <c r="S40" s="1" t="s">
        <v>49</v>
      </c>
      <c r="T40" s="1" t="s">
        <v>27</v>
      </c>
      <c r="U40" s="1" t="s">
        <v>653</v>
      </c>
      <c r="V40" s="1">
        <v>2023</v>
      </c>
      <c r="W40" s="1" t="s">
        <v>988</v>
      </c>
      <c r="X40" s="1" t="s">
        <v>989</v>
      </c>
      <c r="Y40" s="1" t="s">
        <v>310</v>
      </c>
    </row>
    <row r="41" spans="1:25" ht="15.75" x14ac:dyDescent="0.25">
      <c r="A41">
        <v>40</v>
      </c>
      <c r="B41" t="s">
        <v>1059</v>
      </c>
      <c r="C41" t="s">
        <v>43</v>
      </c>
      <c r="D41" s="1">
        <v>19</v>
      </c>
      <c r="E41" s="1" t="s">
        <v>983</v>
      </c>
      <c r="F41" s="1" t="s">
        <v>984</v>
      </c>
      <c r="G41" s="1">
        <v>4</v>
      </c>
      <c r="H41" s="1" t="s">
        <v>985</v>
      </c>
      <c r="I41" s="1" t="s">
        <v>1010</v>
      </c>
      <c r="J41" s="1" t="s">
        <v>1020</v>
      </c>
      <c r="K41" s="1">
        <v>1</v>
      </c>
      <c r="L41" s="1">
        <v>9.1999999999999993</v>
      </c>
      <c r="M41" s="1">
        <v>15</v>
      </c>
      <c r="N41" s="1">
        <v>8.3000000000000007</v>
      </c>
      <c r="O41" s="1">
        <f t="shared" si="1"/>
        <v>10.833333333333334</v>
      </c>
      <c r="P41" s="1">
        <v>97</v>
      </c>
      <c r="Q41" s="1">
        <v>5</v>
      </c>
      <c r="R41" s="1" t="str">
        <f t="shared" si="2"/>
        <v>Aprovado</v>
      </c>
      <c r="S41" s="1" t="s">
        <v>49</v>
      </c>
      <c r="T41" s="1" t="s">
        <v>27</v>
      </c>
      <c r="U41" s="1" t="s">
        <v>653</v>
      </c>
      <c r="V41" s="1">
        <v>2022</v>
      </c>
      <c r="W41" s="1" t="s">
        <v>994</v>
      </c>
      <c r="X41" s="1" t="s">
        <v>1002</v>
      </c>
      <c r="Y41" s="1" t="s">
        <v>310</v>
      </c>
    </row>
    <row r="42" spans="1:25" ht="15.75" x14ac:dyDescent="0.25">
      <c r="A42">
        <v>41</v>
      </c>
      <c r="B42" t="s">
        <v>1060</v>
      </c>
      <c r="C42" t="s">
        <v>30</v>
      </c>
      <c r="D42" s="1">
        <v>22</v>
      </c>
      <c r="E42" s="1" t="s">
        <v>991</v>
      </c>
      <c r="F42" s="1" t="s">
        <v>984</v>
      </c>
      <c r="G42" s="1">
        <v>3</v>
      </c>
      <c r="H42" s="1" t="s">
        <v>985</v>
      </c>
      <c r="I42" s="1" t="s">
        <v>1004</v>
      </c>
      <c r="J42" s="1" t="s">
        <v>993</v>
      </c>
      <c r="K42" s="1">
        <v>2</v>
      </c>
      <c r="L42" s="1">
        <v>9.3000000000000007</v>
      </c>
      <c r="M42" s="1">
        <v>15.6</v>
      </c>
      <c r="N42" s="1">
        <v>11.6</v>
      </c>
      <c r="O42" s="1">
        <f t="shared" si="1"/>
        <v>12.166666666666666</v>
      </c>
      <c r="P42" s="1">
        <v>99</v>
      </c>
      <c r="Q42" s="1">
        <v>5</v>
      </c>
      <c r="R42" s="1" t="str">
        <f t="shared" si="2"/>
        <v>Aprovado</v>
      </c>
      <c r="S42" s="1" t="s">
        <v>27</v>
      </c>
      <c r="T42" s="1" t="s">
        <v>27</v>
      </c>
      <c r="U42" s="1" t="s">
        <v>647</v>
      </c>
      <c r="V42" s="1">
        <v>2026</v>
      </c>
      <c r="W42" s="1" t="s">
        <v>994</v>
      </c>
      <c r="X42" s="1" t="s">
        <v>989</v>
      </c>
      <c r="Y42" s="1" t="s">
        <v>310</v>
      </c>
    </row>
    <row r="43" spans="1:25" ht="15.75" x14ac:dyDescent="0.25">
      <c r="A43">
        <v>42</v>
      </c>
      <c r="B43" t="s">
        <v>1061</v>
      </c>
      <c r="C43" t="s">
        <v>43</v>
      </c>
      <c r="D43" s="1">
        <v>23</v>
      </c>
      <c r="E43" s="1" t="s">
        <v>996</v>
      </c>
      <c r="F43" s="1" t="s">
        <v>984</v>
      </c>
      <c r="G43" s="1">
        <v>3</v>
      </c>
      <c r="H43" s="1" t="s">
        <v>992</v>
      </c>
      <c r="I43" s="1" t="s">
        <v>1048</v>
      </c>
      <c r="J43" s="1" t="s">
        <v>1001</v>
      </c>
      <c r="K43" s="1">
        <v>2</v>
      </c>
      <c r="L43" s="1">
        <v>10.1</v>
      </c>
      <c r="M43" s="1">
        <v>14.4</v>
      </c>
      <c r="N43" s="1">
        <v>19.600000000000001</v>
      </c>
      <c r="O43" s="1">
        <f t="shared" si="1"/>
        <v>14.700000000000001</v>
      </c>
      <c r="P43" s="1">
        <v>67</v>
      </c>
      <c r="Q43" s="1">
        <v>5</v>
      </c>
      <c r="R43" s="1" t="str">
        <f t="shared" si="2"/>
        <v>Aprovado</v>
      </c>
      <c r="S43" s="1" t="s">
        <v>27</v>
      </c>
      <c r="T43" s="1" t="s">
        <v>40</v>
      </c>
      <c r="U43" s="1" t="s">
        <v>647</v>
      </c>
      <c r="V43" s="1">
        <v>2026</v>
      </c>
      <c r="W43" s="1" t="s">
        <v>988</v>
      </c>
      <c r="X43" s="1" t="s">
        <v>989</v>
      </c>
      <c r="Y43" s="1" t="s">
        <v>310</v>
      </c>
    </row>
    <row r="44" spans="1:25" ht="15.75" x14ac:dyDescent="0.25">
      <c r="A44">
        <v>43</v>
      </c>
      <c r="B44" t="s">
        <v>1062</v>
      </c>
      <c r="C44" t="s">
        <v>43</v>
      </c>
      <c r="D44" s="1">
        <v>33</v>
      </c>
      <c r="E44" s="1" t="s">
        <v>991</v>
      </c>
      <c r="F44" s="1" t="s">
        <v>984</v>
      </c>
      <c r="G44" s="1">
        <v>1</v>
      </c>
      <c r="H44" s="1" t="s">
        <v>1025</v>
      </c>
      <c r="I44" s="1" t="s">
        <v>1010</v>
      </c>
      <c r="J44" s="1" t="s">
        <v>1063</v>
      </c>
      <c r="K44" s="1">
        <v>1</v>
      </c>
      <c r="L44" s="1">
        <v>14.7</v>
      </c>
      <c r="M44" s="1">
        <v>8.8000000000000007</v>
      </c>
      <c r="N44" s="1">
        <v>16.600000000000001</v>
      </c>
      <c r="O44" s="1">
        <f t="shared" si="1"/>
        <v>13.366666666666667</v>
      </c>
      <c r="P44" s="1">
        <v>70</v>
      </c>
      <c r="Q44" s="1">
        <v>7</v>
      </c>
      <c r="R44" s="1" t="str">
        <f t="shared" si="2"/>
        <v>Aprovado</v>
      </c>
      <c r="S44" s="1" t="s">
        <v>27</v>
      </c>
      <c r="T44" s="1" t="s">
        <v>49</v>
      </c>
      <c r="U44" s="1" t="s">
        <v>647</v>
      </c>
      <c r="V44" s="1">
        <v>2022</v>
      </c>
      <c r="W44" s="1" t="s">
        <v>988</v>
      </c>
      <c r="X44" s="1" t="s">
        <v>989</v>
      </c>
      <c r="Y44" s="1" t="s">
        <v>310</v>
      </c>
    </row>
    <row r="45" spans="1:25" ht="15.75" x14ac:dyDescent="0.25">
      <c r="A45">
        <v>44</v>
      </c>
      <c r="B45" t="s">
        <v>1064</v>
      </c>
      <c r="C45" t="s">
        <v>43</v>
      </c>
      <c r="D45" s="1">
        <v>24</v>
      </c>
      <c r="E45" s="1" t="s">
        <v>991</v>
      </c>
      <c r="F45" s="1" t="s">
        <v>984</v>
      </c>
      <c r="G45" s="1">
        <v>1</v>
      </c>
      <c r="H45" s="1" t="s">
        <v>1025</v>
      </c>
      <c r="I45" s="1" t="s">
        <v>1012</v>
      </c>
      <c r="J45" s="1" t="s">
        <v>1032</v>
      </c>
      <c r="K45" s="1">
        <v>2</v>
      </c>
      <c r="L45" s="1">
        <v>13.2</v>
      </c>
      <c r="M45" s="1">
        <v>16.2</v>
      </c>
      <c r="N45" s="1">
        <v>11.4</v>
      </c>
      <c r="O45" s="1">
        <f t="shared" si="1"/>
        <v>13.6</v>
      </c>
      <c r="P45" s="1">
        <v>93</v>
      </c>
      <c r="Q45" s="1">
        <v>6</v>
      </c>
      <c r="R45" s="1" t="str">
        <f t="shared" si="2"/>
        <v>Aprovado</v>
      </c>
      <c r="S45" s="1" t="s">
        <v>27</v>
      </c>
      <c r="T45" s="1" t="s">
        <v>27</v>
      </c>
      <c r="U45" s="1" t="s">
        <v>647</v>
      </c>
      <c r="V45" s="1">
        <v>2023</v>
      </c>
      <c r="W45" s="1" t="s">
        <v>988</v>
      </c>
      <c r="X45" s="1" t="s">
        <v>1002</v>
      </c>
      <c r="Y45" s="1" t="s">
        <v>310</v>
      </c>
    </row>
    <row r="46" spans="1:25" ht="15.75" x14ac:dyDescent="0.25">
      <c r="A46">
        <v>45</v>
      </c>
      <c r="B46" t="s">
        <v>1065</v>
      </c>
      <c r="C46" t="s">
        <v>30</v>
      </c>
      <c r="D46" s="1">
        <v>29</v>
      </c>
      <c r="E46" s="1" t="s">
        <v>991</v>
      </c>
      <c r="F46" s="1" t="s">
        <v>984</v>
      </c>
      <c r="G46" s="1">
        <v>3</v>
      </c>
      <c r="H46" s="1" t="s">
        <v>992</v>
      </c>
      <c r="I46" s="1" t="s">
        <v>986</v>
      </c>
      <c r="J46" s="1" t="s">
        <v>993</v>
      </c>
      <c r="K46" s="1">
        <v>1</v>
      </c>
      <c r="L46" s="1">
        <v>15</v>
      </c>
      <c r="M46" s="1">
        <v>9.8000000000000007</v>
      </c>
      <c r="N46" s="1">
        <v>12.8</v>
      </c>
      <c r="O46" s="1">
        <f t="shared" si="1"/>
        <v>12.533333333333333</v>
      </c>
      <c r="P46" s="1">
        <v>88</v>
      </c>
      <c r="Q46" s="1">
        <v>8</v>
      </c>
      <c r="R46" s="1" t="str">
        <f t="shared" si="2"/>
        <v>Aprovado</v>
      </c>
      <c r="S46" s="1" t="s">
        <v>66</v>
      </c>
      <c r="T46" s="1" t="s">
        <v>27</v>
      </c>
      <c r="U46" s="1" t="s">
        <v>653</v>
      </c>
      <c r="V46" s="1">
        <v>2024</v>
      </c>
      <c r="W46" s="1" t="s">
        <v>988</v>
      </c>
      <c r="X46" s="1" t="s">
        <v>989</v>
      </c>
      <c r="Y46" s="1" t="s">
        <v>310</v>
      </c>
    </row>
    <row r="47" spans="1:25" ht="15.75" x14ac:dyDescent="0.25">
      <c r="A47">
        <v>46</v>
      </c>
      <c r="B47" t="s">
        <v>1066</v>
      </c>
      <c r="C47" t="s">
        <v>30</v>
      </c>
      <c r="D47" s="1">
        <v>32</v>
      </c>
      <c r="E47" s="1" t="s">
        <v>996</v>
      </c>
      <c r="F47" s="1" t="s">
        <v>984</v>
      </c>
      <c r="G47" s="1">
        <v>4</v>
      </c>
      <c r="H47" s="1" t="s">
        <v>1000</v>
      </c>
      <c r="I47" s="1" t="s">
        <v>1007</v>
      </c>
      <c r="J47" s="1" t="s">
        <v>1034</v>
      </c>
      <c r="K47" s="1">
        <v>2</v>
      </c>
      <c r="L47" s="1">
        <v>9.9</v>
      </c>
      <c r="M47" s="1">
        <v>17.5</v>
      </c>
      <c r="N47" s="1">
        <v>9.3000000000000007</v>
      </c>
      <c r="O47" s="1">
        <f t="shared" si="1"/>
        <v>12.233333333333334</v>
      </c>
      <c r="P47" s="1">
        <v>80</v>
      </c>
      <c r="Q47" s="1">
        <v>6</v>
      </c>
      <c r="R47" s="1" t="str">
        <f t="shared" si="2"/>
        <v>Aprovado</v>
      </c>
      <c r="S47" s="1" t="s">
        <v>66</v>
      </c>
      <c r="T47" s="1" t="s">
        <v>40</v>
      </c>
      <c r="U47" s="1" t="s">
        <v>647</v>
      </c>
      <c r="V47" s="1">
        <v>2023</v>
      </c>
      <c r="W47" s="1" t="s">
        <v>988</v>
      </c>
      <c r="X47" s="1" t="s">
        <v>1002</v>
      </c>
      <c r="Y47" s="1" t="s">
        <v>310</v>
      </c>
    </row>
    <row r="48" spans="1:25" ht="15.75" x14ac:dyDescent="0.25">
      <c r="A48">
        <v>47</v>
      </c>
      <c r="B48" t="s">
        <v>1067</v>
      </c>
      <c r="C48" t="s">
        <v>43</v>
      </c>
      <c r="D48" s="1">
        <v>28</v>
      </c>
      <c r="E48" s="1" t="s">
        <v>991</v>
      </c>
      <c r="F48" s="1" t="s">
        <v>984</v>
      </c>
      <c r="G48" s="1">
        <v>1</v>
      </c>
      <c r="H48" s="1" t="s">
        <v>992</v>
      </c>
      <c r="I48" s="1" t="s">
        <v>1007</v>
      </c>
      <c r="J48" s="1" t="s">
        <v>1005</v>
      </c>
      <c r="K48" s="1">
        <v>1</v>
      </c>
      <c r="L48" s="1">
        <v>12.5</v>
      </c>
      <c r="M48" s="1">
        <v>8.4</v>
      </c>
      <c r="N48" s="1">
        <v>11.8</v>
      </c>
      <c r="O48" s="1">
        <f t="shared" si="1"/>
        <v>10.9</v>
      </c>
      <c r="P48" s="1">
        <v>81</v>
      </c>
      <c r="Q48" s="1">
        <v>6</v>
      </c>
      <c r="R48" s="1" t="str">
        <f t="shared" si="2"/>
        <v>Aprovado</v>
      </c>
      <c r="S48" s="1" t="s">
        <v>49</v>
      </c>
      <c r="T48" s="1" t="s">
        <v>40</v>
      </c>
      <c r="U48" s="1" t="s">
        <v>647</v>
      </c>
      <c r="V48" s="1">
        <v>2023</v>
      </c>
      <c r="W48" s="1" t="s">
        <v>994</v>
      </c>
      <c r="X48" s="1" t="s">
        <v>1002</v>
      </c>
      <c r="Y48" s="1" t="s">
        <v>310</v>
      </c>
    </row>
    <row r="49" spans="1:25" ht="15.75" x14ac:dyDescent="0.25">
      <c r="A49">
        <v>48</v>
      </c>
      <c r="B49" t="s">
        <v>1068</v>
      </c>
      <c r="C49" t="s">
        <v>30</v>
      </c>
      <c r="D49" s="1">
        <v>31</v>
      </c>
      <c r="E49" s="1" t="s">
        <v>991</v>
      </c>
      <c r="F49" s="1" t="s">
        <v>984</v>
      </c>
      <c r="G49" s="1">
        <v>4</v>
      </c>
      <c r="H49" s="1" t="s">
        <v>1025</v>
      </c>
      <c r="I49" s="1" t="s">
        <v>1019</v>
      </c>
      <c r="J49" s="1" t="s">
        <v>1049</v>
      </c>
      <c r="K49" s="1">
        <v>1</v>
      </c>
      <c r="L49" s="1">
        <v>10.8</v>
      </c>
      <c r="M49" s="1">
        <v>12.2</v>
      </c>
      <c r="N49" s="1">
        <v>12.8</v>
      </c>
      <c r="O49" s="1">
        <f t="shared" si="1"/>
        <v>11.933333333333332</v>
      </c>
      <c r="P49" s="1">
        <v>86</v>
      </c>
      <c r="Q49" s="1">
        <v>6</v>
      </c>
      <c r="R49" s="1" t="str">
        <f t="shared" si="2"/>
        <v>Aprovado</v>
      </c>
      <c r="S49" s="1" t="s">
        <v>49</v>
      </c>
      <c r="T49" s="1" t="s">
        <v>27</v>
      </c>
      <c r="U49" s="1" t="s">
        <v>647</v>
      </c>
      <c r="V49" s="1">
        <v>2022</v>
      </c>
      <c r="W49" s="1" t="s">
        <v>994</v>
      </c>
      <c r="X49" s="1" t="s">
        <v>989</v>
      </c>
      <c r="Y49" s="1" t="s">
        <v>310</v>
      </c>
    </row>
    <row r="50" spans="1:25" ht="15.75" x14ac:dyDescent="0.25">
      <c r="A50">
        <v>49</v>
      </c>
      <c r="B50" t="s">
        <v>1069</v>
      </c>
      <c r="C50" t="s">
        <v>30</v>
      </c>
      <c r="D50" s="1">
        <v>31</v>
      </c>
      <c r="E50" s="1" t="s">
        <v>983</v>
      </c>
      <c r="F50" s="1" t="s">
        <v>984</v>
      </c>
      <c r="G50" s="1">
        <v>1</v>
      </c>
      <c r="H50" s="1" t="s">
        <v>985</v>
      </c>
      <c r="I50" s="1" t="s">
        <v>1019</v>
      </c>
      <c r="J50" s="1" t="s">
        <v>1029</v>
      </c>
      <c r="K50" s="1">
        <v>2</v>
      </c>
      <c r="L50" s="1">
        <v>11</v>
      </c>
      <c r="M50" s="1">
        <v>12</v>
      </c>
      <c r="N50" s="1">
        <v>14.2</v>
      </c>
      <c r="O50" s="1">
        <f t="shared" si="1"/>
        <v>12.4</v>
      </c>
      <c r="P50" s="1">
        <v>61</v>
      </c>
      <c r="Q50" s="1">
        <v>4</v>
      </c>
      <c r="R50" s="1" t="str">
        <f t="shared" si="2"/>
        <v>Aprovado</v>
      </c>
      <c r="S50" s="1" t="s">
        <v>49</v>
      </c>
      <c r="T50" s="1" t="s">
        <v>49</v>
      </c>
      <c r="U50" s="1" t="s">
        <v>653</v>
      </c>
      <c r="V50" s="1">
        <v>2022</v>
      </c>
      <c r="W50" s="1" t="s">
        <v>988</v>
      </c>
      <c r="X50" s="1" t="s">
        <v>1002</v>
      </c>
      <c r="Y50" s="1" t="s">
        <v>310</v>
      </c>
    </row>
    <row r="51" spans="1:25" ht="15.75" x14ac:dyDescent="0.25">
      <c r="A51">
        <v>50</v>
      </c>
      <c r="B51" t="s">
        <v>1070</v>
      </c>
      <c r="C51" t="s">
        <v>30</v>
      </c>
      <c r="D51" s="1">
        <v>25</v>
      </c>
      <c r="E51" s="1" t="s">
        <v>996</v>
      </c>
      <c r="F51" s="1" t="s">
        <v>984</v>
      </c>
      <c r="G51" s="1">
        <v>2</v>
      </c>
      <c r="H51" s="1" t="s">
        <v>1000</v>
      </c>
      <c r="I51" s="1" t="s">
        <v>1010</v>
      </c>
      <c r="J51" s="1" t="s">
        <v>1008</v>
      </c>
      <c r="K51" s="1">
        <v>1</v>
      </c>
      <c r="L51" s="1">
        <v>17.899999999999999</v>
      </c>
      <c r="M51" s="1">
        <v>16.8</v>
      </c>
      <c r="N51" s="1">
        <v>10.6</v>
      </c>
      <c r="O51" s="1">
        <f t="shared" si="1"/>
        <v>15.100000000000001</v>
      </c>
      <c r="P51" s="1">
        <v>90</v>
      </c>
      <c r="Q51" s="1">
        <v>7</v>
      </c>
      <c r="R51" s="1" t="str">
        <f t="shared" si="2"/>
        <v>Aprovado</v>
      </c>
      <c r="S51" s="1" t="s">
        <v>27</v>
      </c>
      <c r="T51" s="1" t="s">
        <v>27</v>
      </c>
      <c r="U51" s="1" t="s">
        <v>653</v>
      </c>
      <c r="V51" s="1">
        <v>2022</v>
      </c>
      <c r="W51" s="1" t="s">
        <v>994</v>
      </c>
      <c r="X51" s="1" t="s">
        <v>1002</v>
      </c>
      <c r="Y51" s="1" t="s">
        <v>310</v>
      </c>
    </row>
    <row r="52" spans="1:25" ht="15.75" x14ac:dyDescent="0.25">
      <c r="A52">
        <v>51</v>
      </c>
      <c r="B52" t="s">
        <v>1071</v>
      </c>
      <c r="C52" t="s">
        <v>30</v>
      </c>
      <c r="D52" s="1">
        <v>18</v>
      </c>
      <c r="E52" s="1" t="s">
        <v>991</v>
      </c>
      <c r="F52" s="1" t="s">
        <v>984</v>
      </c>
      <c r="G52" s="1">
        <v>3</v>
      </c>
      <c r="H52" s="1" t="s">
        <v>992</v>
      </c>
      <c r="I52" s="1" t="s">
        <v>986</v>
      </c>
      <c r="J52" s="1" t="s">
        <v>1005</v>
      </c>
      <c r="K52" s="1">
        <v>2</v>
      </c>
      <c r="L52" s="1">
        <v>15.2</v>
      </c>
      <c r="M52" s="1">
        <v>16.2</v>
      </c>
      <c r="N52" s="1">
        <v>10</v>
      </c>
      <c r="O52" s="1">
        <f t="shared" si="1"/>
        <v>13.799999999999999</v>
      </c>
      <c r="P52" s="1">
        <v>80</v>
      </c>
      <c r="Q52" s="1">
        <v>5</v>
      </c>
      <c r="R52" s="1" t="str">
        <f t="shared" si="2"/>
        <v>Aprovado</v>
      </c>
      <c r="S52" s="1" t="s">
        <v>27</v>
      </c>
      <c r="T52" s="1" t="s">
        <v>40</v>
      </c>
      <c r="U52" s="1" t="s">
        <v>647</v>
      </c>
      <c r="V52" s="1">
        <v>2023</v>
      </c>
      <c r="W52" s="1" t="s">
        <v>988</v>
      </c>
      <c r="X52" s="1" t="s">
        <v>1002</v>
      </c>
      <c r="Y52" s="1" t="s">
        <v>310</v>
      </c>
    </row>
    <row r="53" spans="1:25" ht="15.75" x14ac:dyDescent="0.25">
      <c r="A53">
        <v>52</v>
      </c>
      <c r="B53" t="s">
        <v>1072</v>
      </c>
      <c r="C53" t="s">
        <v>30</v>
      </c>
      <c r="D53" s="1">
        <v>26</v>
      </c>
      <c r="E53" s="1" t="s">
        <v>983</v>
      </c>
      <c r="F53" s="1" t="s">
        <v>984</v>
      </c>
      <c r="G53" s="1">
        <v>1</v>
      </c>
      <c r="H53" s="1" t="s">
        <v>992</v>
      </c>
      <c r="I53" s="1" t="s">
        <v>986</v>
      </c>
      <c r="J53" s="1" t="s">
        <v>1008</v>
      </c>
      <c r="K53" s="1">
        <v>1</v>
      </c>
      <c r="L53" s="1">
        <v>16.899999999999999</v>
      </c>
      <c r="M53" s="1">
        <v>13</v>
      </c>
      <c r="N53" s="1">
        <v>18.100000000000001</v>
      </c>
      <c r="O53" s="1">
        <f t="shared" si="1"/>
        <v>16</v>
      </c>
      <c r="P53" s="1">
        <v>99</v>
      </c>
      <c r="Q53" s="1">
        <v>6</v>
      </c>
      <c r="R53" s="1" t="str">
        <f t="shared" si="2"/>
        <v>Aprovado</v>
      </c>
      <c r="S53" s="1" t="s">
        <v>49</v>
      </c>
      <c r="T53" s="1" t="s">
        <v>40</v>
      </c>
      <c r="U53" s="1" t="s">
        <v>653</v>
      </c>
      <c r="V53" s="1">
        <v>2026</v>
      </c>
      <c r="W53" s="1" t="s">
        <v>988</v>
      </c>
      <c r="X53" s="1" t="s">
        <v>989</v>
      </c>
      <c r="Y53" s="1" t="s">
        <v>310</v>
      </c>
    </row>
    <row r="54" spans="1:25" ht="15.75" x14ac:dyDescent="0.25">
      <c r="A54">
        <v>53</v>
      </c>
      <c r="B54" t="s">
        <v>1073</v>
      </c>
      <c r="C54" t="s">
        <v>43</v>
      </c>
      <c r="D54" s="1">
        <v>27</v>
      </c>
      <c r="E54" s="1" t="s">
        <v>983</v>
      </c>
      <c r="F54" s="1" t="s">
        <v>984</v>
      </c>
      <c r="G54" s="1">
        <v>3</v>
      </c>
      <c r="H54" s="1" t="s">
        <v>992</v>
      </c>
      <c r="I54" s="1" t="s">
        <v>1010</v>
      </c>
      <c r="J54" s="1" t="s">
        <v>1015</v>
      </c>
      <c r="K54" s="1">
        <v>2</v>
      </c>
      <c r="L54" s="1">
        <v>13.6</v>
      </c>
      <c r="M54" s="1">
        <v>9.6999999999999993</v>
      </c>
      <c r="N54" s="1">
        <v>17.399999999999999</v>
      </c>
      <c r="O54" s="1">
        <f t="shared" si="1"/>
        <v>13.566666666666665</v>
      </c>
      <c r="P54" s="1">
        <v>81</v>
      </c>
      <c r="Q54" s="1">
        <v>4</v>
      </c>
      <c r="R54" s="1" t="str">
        <f t="shared" si="2"/>
        <v>Aprovado</v>
      </c>
      <c r="S54" s="1" t="s">
        <v>27</v>
      </c>
      <c r="T54" s="1" t="s">
        <v>40</v>
      </c>
      <c r="U54" s="1" t="s">
        <v>647</v>
      </c>
      <c r="V54" s="1">
        <v>2023</v>
      </c>
      <c r="W54" s="1" t="s">
        <v>994</v>
      </c>
      <c r="X54" s="1" t="s">
        <v>1002</v>
      </c>
      <c r="Y54" s="1" t="s">
        <v>310</v>
      </c>
    </row>
    <row r="55" spans="1:25" ht="15.75" x14ac:dyDescent="0.25">
      <c r="A55">
        <v>54</v>
      </c>
      <c r="B55" t="s">
        <v>1074</v>
      </c>
      <c r="C55" t="s">
        <v>43</v>
      </c>
      <c r="D55" s="1">
        <v>23</v>
      </c>
      <c r="E55" s="1" t="s">
        <v>996</v>
      </c>
      <c r="F55" s="1" t="s">
        <v>984</v>
      </c>
      <c r="G55" s="1">
        <v>1</v>
      </c>
      <c r="H55" s="1" t="s">
        <v>1025</v>
      </c>
      <c r="I55" s="1" t="s">
        <v>986</v>
      </c>
      <c r="J55" s="1" t="s">
        <v>1001</v>
      </c>
      <c r="K55" s="1">
        <v>1</v>
      </c>
      <c r="L55" s="1">
        <v>14.9</v>
      </c>
      <c r="M55" s="1">
        <v>10.3</v>
      </c>
      <c r="N55" s="1">
        <v>11.3</v>
      </c>
      <c r="O55" s="1">
        <f t="shared" si="1"/>
        <v>12.166666666666666</v>
      </c>
      <c r="P55" s="1">
        <v>90</v>
      </c>
      <c r="Q55" s="1">
        <v>5</v>
      </c>
      <c r="R55" s="1" t="str">
        <f t="shared" si="2"/>
        <v>Aprovado</v>
      </c>
      <c r="S55" s="1" t="s">
        <v>66</v>
      </c>
      <c r="T55" s="1" t="s">
        <v>27</v>
      </c>
      <c r="U55" s="1" t="s">
        <v>653</v>
      </c>
      <c r="V55" s="1">
        <v>2026</v>
      </c>
      <c r="W55" s="1" t="s">
        <v>994</v>
      </c>
      <c r="X55" s="1" t="s">
        <v>989</v>
      </c>
      <c r="Y55" s="1" t="s">
        <v>310</v>
      </c>
    </row>
    <row r="56" spans="1:25" ht="15.75" x14ac:dyDescent="0.25">
      <c r="A56">
        <v>55</v>
      </c>
      <c r="B56" t="s">
        <v>1075</v>
      </c>
      <c r="C56" t="s">
        <v>30</v>
      </c>
      <c r="D56" s="1">
        <v>27</v>
      </c>
      <c r="E56" s="1" t="s">
        <v>983</v>
      </c>
      <c r="F56" s="1" t="s">
        <v>984</v>
      </c>
      <c r="G56" s="1">
        <v>4</v>
      </c>
      <c r="H56" s="1" t="s">
        <v>1000</v>
      </c>
      <c r="I56" s="1" t="s">
        <v>1004</v>
      </c>
      <c r="J56" s="1" t="s">
        <v>998</v>
      </c>
      <c r="K56" s="1">
        <v>1</v>
      </c>
      <c r="L56" s="1">
        <v>8.6</v>
      </c>
      <c r="M56" s="1">
        <v>16.3</v>
      </c>
      <c r="N56" s="1">
        <v>16.2</v>
      </c>
      <c r="O56" s="1">
        <f t="shared" si="1"/>
        <v>13.699999999999998</v>
      </c>
      <c r="P56" s="1">
        <v>64</v>
      </c>
      <c r="Q56" s="1">
        <v>7</v>
      </c>
      <c r="R56" s="1" t="str">
        <f t="shared" si="2"/>
        <v>Aprovado</v>
      </c>
      <c r="S56" s="1" t="s">
        <v>27</v>
      </c>
      <c r="T56" s="1" t="s">
        <v>27</v>
      </c>
      <c r="U56" s="1" t="s">
        <v>653</v>
      </c>
      <c r="V56" s="1">
        <v>2022</v>
      </c>
      <c r="W56" s="1" t="s">
        <v>988</v>
      </c>
      <c r="X56" s="1" t="s">
        <v>989</v>
      </c>
      <c r="Y56" s="1" t="s">
        <v>310</v>
      </c>
    </row>
    <row r="57" spans="1:25" ht="15.75" x14ac:dyDescent="0.25">
      <c r="A57">
        <v>56</v>
      </c>
      <c r="B57" t="s">
        <v>1076</v>
      </c>
      <c r="C57" t="s">
        <v>43</v>
      </c>
      <c r="D57" s="1">
        <v>22</v>
      </c>
      <c r="E57" s="1" t="s">
        <v>983</v>
      </c>
      <c r="F57" s="1" t="s">
        <v>984</v>
      </c>
      <c r="G57" s="1">
        <v>4</v>
      </c>
      <c r="H57" s="1" t="s">
        <v>1000</v>
      </c>
      <c r="I57" s="1" t="s">
        <v>1010</v>
      </c>
      <c r="J57" s="1" t="s">
        <v>1008</v>
      </c>
      <c r="K57" s="1">
        <v>1</v>
      </c>
      <c r="L57" s="1">
        <v>12.9</v>
      </c>
      <c r="M57" s="1">
        <v>16.399999999999999</v>
      </c>
      <c r="N57" s="1">
        <v>19.899999999999999</v>
      </c>
      <c r="O57" s="1">
        <f t="shared" si="1"/>
        <v>16.399999999999999</v>
      </c>
      <c r="P57" s="1">
        <v>81</v>
      </c>
      <c r="Q57" s="1">
        <v>4</v>
      </c>
      <c r="R57" s="1" t="str">
        <f t="shared" si="2"/>
        <v>Aprovado</v>
      </c>
      <c r="S57" s="1" t="s">
        <v>49</v>
      </c>
      <c r="T57" s="1" t="s">
        <v>49</v>
      </c>
      <c r="U57" s="1" t="s">
        <v>653</v>
      </c>
      <c r="V57" s="1">
        <v>2025</v>
      </c>
      <c r="W57" s="1" t="s">
        <v>988</v>
      </c>
      <c r="X57" s="1" t="s">
        <v>989</v>
      </c>
      <c r="Y57" s="1" t="s">
        <v>310</v>
      </c>
    </row>
    <row r="58" spans="1:25" ht="15.75" x14ac:dyDescent="0.25">
      <c r="A58">
        <v>57</v>
      </c>
      <c r="B58" t="s">
        <v>1077</v>
      </c>
      <c r="C58" t="s">
        <v>43</v>
      </c>
      <c r="D58" s="1">
        <v>20</v>
      </c>
      <c r="E58" s="1" t="s">
        <v>983</v>
      </c>
      <c r="F58" s="1" t="s">
        <v>984</v>
      </c>
      <c r="G58" s="1">
        <v>4</v>
      </c>
      <c r="H58" s="1" t="s">
        <v>1025</v>
      </c>
      <c r="I58" s="1" t="s">
        <v>1048</v>
      </c>
      <c r="J58" s="1" t="s">
        <v>1029</v>
      </c>
      <c r="K58" s="1">
        <v>1</v>
      </c>
      <c r="L58" s="1">
        <v>17.2</v>
      </c>
      <c r="M58" s="1">
        <v>11.4</v>
      </c>
      <c r="N58" s="1">
        <v>11.2</v>
      </c>
      <c r="O58" s="1">
        <f t="shared" si="1"/>
        <v>13.266666666666666</v>
      </c>
      <c r="P58" s="1">
        <v>76</v>
      </c>
      <c r="Q58" s="1">
        <v>8</v>
      </c>
      <c r="R58" s="1" t="str">
        <f t="shared" si="2"/>
        <v>Aprovado</v>
      </c>
      <c r="S58" s="1" t="s">
        <v>66</v>
      </c>
      <c r="T58" s="1" t="s">
        <v>40</v>
      </c>
      <c r="U58" s="1" t="s">
        <v>647</v>
      </c>
      <c r="V58" s="1">
        <v>2023</v>
      </c>
      <c r="W58" s="1" t="s">
        <v>994</v>
      </c>
      <c r="X58" s="1" t="s">
        <v>989</v>
      </c>
      <c r="Y58" s="1" t="s">
        <v>310</v>
      </c>
    </row>
    <row r="59" spans="1:25" ht="15.75" x14ac:dyDescent="0.25">
      <c r="A59">
        <v>58</v>
      </c>
      <c r="B59" t="s">
        <v>1078</v>
      </c>
      <c r="C59" t="s">
        <v>43</v>
      </c>
      <c r="D59" s="1">
        <v>33</v>
      </c>
      <c r="E59" s="1" t="s">
        <v>983</v>
      </c>
      <c r="F59" s="1" t="s">
        <v>984</v>
      </c>
      <c r="G59" s="1">
        <v>4</v>
      </c>
      <c r="H59" s="1" t="s">
        <v>1025</v>
      </c>
      <c r="I59" s="1" t="s">
        <v>1017</v>
      </c>
      <c r="J59" s="1" t="s">
        <v>1043</v>
      </c>
      <c r="K59" s="1">
        <v>2</v>
      </c>
      <c r="L59" s="1">
        <v>14.7</v>
      </c>
      <c r="M59" s="1">
        <v>12.6</v>
      </c>
      <c r="N59" s="1">
        <v>17.399999999999999</v>
      </c>
      <c r="O59" s="1">
        <f t="shared" si="1"/>
        <v>14.899999999999999</v>
      </c>
      <c r="P59" s="1">
        <v>96</v>
      </c>
      <c r="Q59" s="1">
        <v>5</v>
      </c>
      <c r="R59" s="1" t="str">
        <f t="shared" si="2"/>
        <v>Aprovado</v>
      </c>
      <c r="S59" s="1" t="s">
        <v>66</v>
      </c>
      <c r="T59" s="1" t="s">
        <v>27</v>
      </c>
      <c r="U59" s="1" t="s">
        <v>647</v>
      </c>
      <c r="V59" s="1">
        <v>2023</v>
      </c>
      <c r="W59" s="1" t="s">
        <v>994</v>
      </c>
      <c r="X59" s="1" t="s">
        <v>1002</v>
      </c>
      <c r="Y59" s="1" t="s">
        <v>310</v>
      </c>
    </row>
    <row r="60" spans="1:25" ht="15.75" x14ac:dyDescent="0.25">
      <c r="A60">
        <v>59</v>
      </c>
      <c r="B60" t="s">
        <v>1079</v>
      </c>
      <c r="C60" t="s">
        <v>30</v>
      </c>
      <c r="D60" s="1">
        <v>30</v>
      </c>
      <c r="E60" s="1" t="s">
        <v>996</v>
      </c>
      <c r="F60" s="1" t="s">
        <v>984</v>
      </c>
      <c r="G60" s="1">
        <v>1</v>
      </c>
      <c r="H60" s="1" t="s">
        <v>985</v>
      </c>
      <c r="I60" s="1" t="s">
        <v>1048</v>
      </c>
      <c r="J60" s="1" t="s">
        <v>1043</v>
      </c>
      <c r="K60" s="1">
        <v>1</v>
      </c>
      <c r="L60" s="1">
        <v>14.6</v>
      </c>
      <c r="M60" s="1">
        <v>12.3</v>
      </c>
      <c r="N60" s="1">
        <v>18</v>
      </c>
      <c r="O60" s="1">
        <f t="shared" si="1"/>
        <v>14.966666666666667</v>
      </c>
      <c r="P60" s="1">
        <v>100</v>
      </c>
      <c r="Q60" s="1">
        <v>8</v>
      </c>
      <c r="R60" s="1" t="str">
        <f t="shared" si="2"/>
        <v>Aprovado</v>
      </c>
      <c r="S60" s="1" t="s">
        <v>49</v>
      </c>
      <c r="T60" s="1" t="s">
        <v>27</v>
      </c>
      <c r="U60" s="1" t="s">
        <v>653</v>
      </c>
      <c r="V60" s="1">
        <v>2022</v>
      </c>
      <c r="W60" s="1" t="s">
        <v>988</v>
      </c>
      <c r="X60" s="1" t="s">
        <v>1002</v>
      </c>
      <c r="Y60" s="1" t="s">
        <v>310</v>
      </c>
    </row>
    <row r="61" spans="1:25" ht="15.75" x14ac:dyDescent="0.25">
      <c r="A61">
        <v>60</v>
      </c>
      <c r="B61" t="s">
        <v>1080</v>
      </c>
      <c r="C61" t="s">
        <v>43</v>
      </c>
      <c r="D61" s="1">
        <v>32</v>
      </c>
      <c r="E61" s="1" t="s">
        <v>991</v>
      </c>
      <c r="F61" s="1" t="s">
        <v>984</v>
      </c>
      <c r="G61" s="1">
        <v>3</v>
      </c>
      <c r="H61" s="1" t="s">
        <v>992</v>
      </c>
      <c r="I61" s="1" t="s">
        <v>1012</v>
      </c>
      <c r="J61" s="1" t="s">
        <v>1029</v>
      </c>
      <c r="K61" s="1">
        <v>1</v>
      </c>
      <c r="L61" s="1">
        <v>10.6</v>
      </c>
      <c r="M61" s="1">
        <v>12.6</v>
      </c>
      <c r="N61" s="1">
        <v>9.9</v>
      </c>
      <c r="O61" s="1">
        <f t="shared" si="1"/>
        <v>11.033333333333333</v>
      </c>
      <c r="P61" s="1">
        <v>66</v>
      </c>
      <c r="Q61" s="1">
        <v>7</v>
      </c>
      <c r="R61" s="1" t="str">
        <f t="shared" si="2"/>
        <v>Aprovado</v>
      </c>
      <c r="S61" s="1" t="s">
        <v>66</v>
      </c>
      <c r="T61" s="1" t="s">
        <v>40</v>
      </c>
      <c r="U61" s="1" t="s">
        <v>647</v>
      </c>
      <c r="V61" s="1">
        <v>2022</v>
      </c>
      <c r="W61" s="1" t="s">
        <v>988</v>
      </c>
      <c r="X61" s="1" t="s">
        <v>989</v>
      </c>
      <c r="Y61" s="1" t="s">
        <v>310</v>
      </c>
    </row>
    <row r="62" spans="1:25" ht="15.75" x14ac:dyDescent="0.25">
      <c r="A62">
        <v>61</v>
      </c>
      <c r="B62" t="s">
        <v>1081</v>
      </c>
      <c r="C62" t="s">
        <v>30</v>
      </c>
      <c r="D62" s="1">
        <v>20</v>
      </c>
      <c r="E62" s="1" t="s">
        <v>996</v>
      </c>
      <c r="F62" s="1" t="s">
        <v>984</v>
      </c>
      <c r="G62" s="1">
        <v>3</v>
      </c>
      <c r="H62" s="1" t="s">
        <v>1000</v>
      </c>
      <c r="I62" s="1" t="s">
        <v>1048</v>
      </c>
      <c r="J62" s="1" t="s">
        <v>1013</v>
      </c>
      <c r="K62" s="1">
        <v>1</v>
      </c>
      <c r="L62" s="1">
        <v>15.2</v>
      </c>
      <c r="M62" s="1">
        <v>11.2</v>
      </c>
      <c r="N62" s="1">
        <v>18.8</v>
      </c>
      <c r="O62" s="1">
        <f t="shared" si="1"/>
        <v>15.066666666666668</v>
      </c>
      <c r="P62" s="1">
        <v>68</v>
      </c>
      <c r="Q62" s="1">
        <v>8</v>
      </c>
      <c r="R62" s="1" t="str">
        <f t="shared" si="2"/>
        <v>Aprovado</v>
      </c>
      <c r="S62" s="1" t="s">
        <v>27</v>
      </c>
      <c r="T62" s="1" t="s">
        <v>40</v>
      </c>
      <c r="U62" s="1" t="s">
        <v>653</v>
      </c>
      <c r="V62" s="1">
        <v>2026</v>
      </c>
      <c r="W62" s="1" t="s">
        <v>988</v>
      </c>
      <c r="X62" s="1" t="s">
        <v>989</v>
      </c>
      <c r="Y62" s="1" t="s">
        <v>310</v>
      </c>
    </row>
    <row r="63" spans="1:25" ht="15.75" x14ac:dyDescent="0.25">
      <c r="A63">
        <v>62</v>
      </c>
      <c r="B63" t="s">
        <v>1082</v>
      </c>
      <c r="C63" t="s">
        <v>30</v>
      </c>
      <c r="D63" s="1">
        <v>32</v>
      </c>
      <c r="E63" s="1" t="s">
        <v>983</v>
      </c>
      <c r="F63" s="1" t="s">
        <v>984</v>
      </c>
      <c r="G63" s="1">
        <v>3</v>
      </c>
      <c r="H63" s="1" t="s">
        <v>992</v>
      </c>
      <c r="I63" s="1" t="s">
        <v>1007</v>
      </c>
      <c r="J63" s="1" t="s">
        <v>998</v>
      </c>
      <c r="K63" s="1">
        <v>2</v>
      </c>
      <c r="L63" s="1">
        <v>14</v>
      </c>
      <c r="M63" s="1">
        <v>8.6999999999999993</v>
      </c>
      <c r="N63" s="1">
        <v>18.100000000000001</v>
      </c>
      <c r="O63" s="1">
        <f t="shared" si="1"/>
        <v>13.6</v>
      </c>
      <c r="P63" s="1">
        <v>75</v>
      </c>
      <c r="Q63" s="1">
        <v>4</v>
      </c>
      <c r="R63" s="1" t="str">
        <f t="shared" si="2"/>
        <v>Aprovado</v>
      </c>
      <c r="S63" s="1" t="s">
        <v>27</v>
      </c>
      <c r="T63" s="1" t="s">
        <v>49</v>
      </c>
      <c r="U63" s="1" t="s">
        <v>647</v>
      </c>
      <c r="V63" s="1">
        <v>2023</v>
      </c>
      <c r="W63" s="1" t="s">
        <v>988</v>
      </c>
      <c r="X63" s="1" t="s">
        <v>989</v>
      </c>
      <c r="Y63" s="1" t="s">
        <v>310</v>
      </c>
    </row>
    <row r="64" spans="1:25" ht="15.75" x14ac:dyDescent="0.25">
      <c r="A64">
        <v>63</v>
      </c>
      <c r="B64" t="s">
        <v>1083</v>
      </c>
      <c r="C64" t="s">
        <v>43</v>
      </c>
      <c r="D64" s="1">
        <v>28</v>
      </c>
      <c r="E64" s="1" t="s">
        <v>983</v>
      </c>
      <c r="F64" s="1" t="s">
        <v>984</v>
      </c>
      <c r="G64" s="1">
        <v>3</v>
      </c>
      <c r="H64" s="1" t="s">
        <v>1025</v>
      </c>
      <c r="I64" s="1" t="s">
        <v>1007</v>
      </c>
      <c r="J64" s="1" t="s">
        <v>1015</v>
      </c>
      <c r="K64" s="1">
        <v>2</v>
      </c>
      <c r="L64" s="1">
        <v>12.1</v>
      </c>
      <c r="M64" s="1">
        <v>8.6999999999999993</v>
      </c>
      <c r="N64" s="1">
        <v>16.7</v>
      </c>
      <c r="O64" s="1">
        <f t="shared" si="1"/>
        <v>12.5</v>
      </c>
      <c r="P64" s="1">
        <v>74</v>
      </c>
      <c r="Q64" s="1">
        <v>5</v>
      </c>
      <c r="R64" s="1" t="str">
        <f t="shared" si="2"/>
        <v>Aprovado</v>
      </c>
      <c r="S64" s="1" t="s">
        <v>66</v>
      </c>
      <c r="T64" s="1" t="s">
        <v>40</v>
      </c>
      <c r="U64" s="1" t="s">
        <v>647</v>
      </c>
      <c r="V64" s="1">
        <v>2023</v>
      </c>
      <c r="W64" s="1" t="s">
        <v>994</v>
      </c>
      <c r="X64" s="1" t="s">
        <v>989</v>
      </c>
      <c r="Y64" s="1" t="s">
        <v>310</v>
      </c>
    </row>
    <row r="65" spans="1:25" ht="15.75" x14ac:dyDescent="0.25">
      <c r="A65">
        <v>64</v>
      </c>
      <c r="B65" t="s">
        <v>1084</v>
      </c>
      <c r="C65" t="s">
        <v>30</v>
      </c>
      <c r="D65" s="1">
        <v>26</v>
      </c>
      <c r="E65" s="1" t="s">
        <v>991</v>
      </c>
      <c r="F65" s="1" t="s">
        <v>984</v>
      </c>
      <c r="G65" s="1">
        <v>3</v>
      </c>
      <c r="H65" s="1" t="s">
        <v>985</v>
      </c>
      <c r="I65" s="1" t="s">
        <v>1048</v>
      </c>
      <c r="J65" s="1" t="s">
        <v>993</v>
      </c>
      <c r="K65" s="1">
        <v>2</v>
      </c>
      <c r="L65" s="1">
        <v>13.1</v>
      </c>
      <c r="M65" s="1">
        <v>14.3</v>
      </c>
      <c r="N65" s="1">
        <v>13.6</v>
      </c>
      <c r="O65" s="1">
        <f t="shared" si="1"/>
        <v>13.666666666666666</v>
      </c>
      <c r="P65" s="1">
        <v>95</v>
      </c>
      <c r="Q65" s="1">
        <v>8</v>
      </c>
      <c r="R65" s="1" t="str">
        <f t="shared" si="2"/>
        <v>Aprovado</v>
      </c>
      <c r="S65" s="1" t="s">
        <v>49</v>
      </c>
      <c r="T65" s="1" t="s">
        <v>27</v>
      </c>
      <c r="U65" s="1" t="s">
        <v>653</v>
      </c>
      <c r="V65" s="1">
        <v>2022</v>
      </c>
      <c r="W65" s="1" t="s">
        <v>988</v>
      </c>
      <c r="X65" s="1" t="s">
        <v>989</v>
      </c>
      <c r="Y65" s="1" t="s">
        <v>310</v>
      </c>
    </row>
    <row r="66" spans="1:25" ht="15.75" x14ac:dyDescent="0.25">
      <c r="A66">
        <v>65</v>
      </c>
      <c r="B66" t="s">
        <v>1085</v>
      </c>
      <c r="C66" t="s">
        <v>43</v>
      </c>
      <c r="D66" s="1">
        <v>25</v>
      </c>
      <c r="E66" s="1" t="s">
        <v>983</v>
      </c>
      <c r="F66" s="1" t="s">
        <v>984</v>
      </c>
      <c r="G66" s="1">
        <v>1</v>
      </c>
      <c r="H66" s="1" t="s">
        <v>1000</v>
      </c>
      <c r="I66" s="1" t="s">
        <v>1012</v>
      </c>
      <c r="J66" s="1" t="s">
        <v>987</v>
      </c>
      <c r="K66" s="1">
        <v>1</v>
      </c>
      <c r="L66" s="1">
        <v>17</v>
      </c>
      <c r="M66" s="1">
        <v>8.3000000000000007</v>
      </c>
      <c r="N66" s="1">
        <v>15.2</v>
      </c>
      <c r="O66" s="1">
        <f t="shared" si="1"/>
        <v>13.5</v>
      </c>
      <c r="P66" s="1">
        <v>98</v>
      </c>
      <c r="Q66" s="1">
        <v>6</v>
      </c>
      <c r="R66" s="1" t="str">
        <f t="shared" si="2"/>
        <v>Aprovado</v>
      </c>
      <c r="S66" s="1" t="s">
        <v>27</v>
      </c>
      <c r="T66" s="1" t="s">
        <v>49</v>
      </c>
      <c r="U66" s="1" t="s">
        <v>653</v>
      </c>
      <c r="V66" s="1">
        <v>2025</v>
      </c>
      <c r="W66" s="1" t="s">
        <v>988</v>
      </c>
      <c r="X66" s="1" t="s">
        <v>989</v>
      </c>
      <c r="Y66" s="1" t="s">
        <v>310</v>
      </c>
    </row>
    <row r="67" spans="1:25" ht="15.75" x14ac:dyDescent="0.25">
      <c r="A67">
        <v>66</v>
      </c>
      <c r="B67" t="s">
        <v>1086</v>
      </c>
      <c r="C67" t="s">
        <v>30</v>
      </c>
      <c r="D67" s="1">
        <v>23</v>
      </c>
      <c r="E67" s="1" t="s">
        <v>991</v>
      </c>
      <c r="F67" s="1" t="s">
        <v>984</v>
      </c>
      <c r="G67" s="1">
        <v>4</v>
      </c>
      <c r="H67" s="1" t="s">
        <v>992</v>
      </c>
      <c r="I67" s="1" t="s">
        <v>1010</v>
      </c>
      <c r="J67" s="1" t="s">
        <v>1005</v>
      </c>
      <c r="K67" s="1">
        <v>2</v>
      </c>
      <c r="L67" s="1">
        <v>11.8</v>
      </c>
      <c r="M67" s="1">
        <v>11</v>
      </c>
      <c r="N67" s="1">
        <v>13.9</v>
      </c>
      <c r="O67" s="1">
        <f t="shared" ref="O67:O130" si="3">(L67+M67+N67)/3</f>
        <v>12.233333333333334</v>
      </c>
      <c r="P67" s="1">
        <v>100</v>
      </c>
      <c r="Q67" s="1">
        <v>5</v>
      </c>
      <c r="R67" s="1" t="str">
        <f t="shared" ref="R67:R130" si="4">IF(O67&gt;=10,"Aprovado","Reprovado")</f>
        <v>Aprovado</v>
      </c>
      <c r="S67" s="1" t="s">
        <v>27</v>
      </c>
      <c r="T67" s="1" t="s">
        <v>27</v>
      </c>
      <c r="U67" s="1" t="s">
        <v>647</v>
      </c>
      <c r="V67" s="1">
        <v>2024</v>
      </c>
      <c r="W67" s="1" t="s">
        <v>988</v>
      </c>
      <c r="X67" s="1" t="s">
        <v>989</v>
      </c>
      <c r="Y67" s="1" t="s">
        <v>310</v>
      </c>
    </row>
    <row r="68" spans="1:25" ht="15.75" x14ac:dyDescent="0.25">
      <c r="A68">
        <v>67</v>
      </c>
      <c r="B68" t="s">
        <v>1087</v>
      </c>
      <c r="C68" t="s">
        <v>30</v>
      </c>
      <c r="D68" s="1">
        <v>33</v>
      </c>
      <c r="E68" s="1" t="s">
        <v>983</v>
      </c>
      <c r="F68" s="1" t="s">
        <v>984</v>
      </c>
      <c r="G68" s="1">
        <v>1</v>
      </c>
      <c r="H68" s="1" t="s">
        <v>1000</v>
      </c>
      <c r="I68" s="1" t="s">
        <v>1019</v>
      </c>
      <c r="J68" s="1" t="s">
        <v>1049</v>
      </c>
      <c r="K68" s="1">
        <v>2</v>
      </c>
      <c r="L68" s="1">
        <v>12.2</v>
      </c>
      <c r="M68" s="1">
        <v>12.8</v>
      </c>
      <c r="N68" s="1">
        <v>12.4</v>
      </c>
      <c r="O68" s="1">
        <f t="shared" si="3"/>
        <v>12.466666666666667</v>
      </c>
      <c r="P68" s="1">
        <v>65</v>
      </c>
      <c r="Q68" s="1">
        <v>5</v>
      </c>
      <c r="R68" s="1" t="str">
        <f t="shared" si="4"/>
        <v>Aprovado</v>
      </c>
      <c r="S68" s="1" t="s">
        <v>49</v>
      </c>
      <c r="T68" s="1" t="s">
        <v>49</v>
      </c>
      <c r="U68" s="1" t="s">
        <v>653</v>
      </c>
      <c r="V68" s="1">
        <v>2023</v>
      </c>
      <c r="W68" s="1" t="s">
        <v>988</v>
      </c>
      <c r="X68" s="1" t="s">
        <v>989</v>
      </c>
      <c r="Y68" s="1" t="s">
        <v>310</v>
      </c>
    </row>
    <row r="69" spans="1:25" ht="15.75" x14ac:dyDescent="0.25">
      <c r="A69">
        <v>68</v>
      </c>
      <c r="B69" t="s">
        <v>1088</v>
      </c>
      <c r="C69" t="s">
        <v>43</v>
      </c>
      <c r="D69" s="1">
        <v>30</v>
      </c>
      <c r="E69" s="1" t="s">
        <v>983</v>
      </c>
      <c r="F69" s="1" t="s">
        <v>984</v>
      </c>
      <c r="G69" s="1">
        <v>4</v>
      </c>
      <c r="H69" s="1" t="s">
        <v>1025</v>
      </c>
      <c r="I69" s="1" t="s">
        <v>1054</v>
      </c>
      <c r="J69" s="1" t="s">
        <v>1043</v>
      </c>
      <c r="K69" s="1">
        <v>2</v>
      </c>
      <c r="L69" s="1">
        <v>13</v>
      </c>
      <c r="M69" s="1">
        <v>16.899999999999999</v>
      </c>
      <c r="N69" s="1">
        <v>13.6</v>
      </c>
      <c r="O69" s="1">
        <f t="shared" si="3"/>
        <v>14.5</v>
      </c>
      <c r="P69" s="1">
        <v>76</v>
      </c>
      <c r="Q69" s="1">
        <v>4</v>
      </c>
      <c r="R69" s="1" t="str">
        <f t="shared" si="4"/>
        <v>Aprovado</v>
      </c>
      <c r="S69" s="1" t="s">
        <v>49</v>
      </c>
      <c r="T69" s="1" t="s">
        <v>49</v>
      </c>
      <c r="U69" s="1" t="s">
        <v>647</v>
      </c>
      <c r="V69" s="1">
        <v>2024</v>
      </c>
      <c r="W69" s="1" t="s">
        <v>988</v>
      </c>
      <c r="X69" s="1" t="s">
        <v>1002</v>
      </c>
      <c r="Y69" s="1" t="s">
        <v>310</v>
      </c>
    </row>
    <row r="70" spans="1:25" ht="15.75" x14ac:dyDescent="0.25">
      <c r="A70">
        <v>69</v>
      </c>
      <c r="B70" t="s">
        <v>1089</v>
      </c>
      <c r="C70" t="s">
        <v>30</v>
      </c>
      <c r="D70" s="1">
        <v>32</v>
      </c>
      <c r="E70" s="1" t="s">
        <v>983</v>
      </c>
      <c r="F70" s="1" t="s">
        <v>984</v>
      </c>
      <c r="G70" s="1">
        <v>2</v>
      </c>
      <c r="H70" s="1" t="s">
        <v>992</v>
      </c>
      <c r="I70" s="1" t="s">
        <v>1010</v>
      </c>
      <c r="J70" s="1" t="s">
        <v>1049</v>
      </c>
      <c r="K70" s="1">
        <v>1</v>
      </c>
      <c r="L70" s="1">
        <v>15.6</v>
      </c>
      <c r="M70" s="1">
        <v>15.9</v>
      </c>
      <c r="N70" s="1">
        <v>11.1</v>
      </c>
      <c r="O70" s="1">
        <f t="shared" si="3"/>
        <v>14.200000000000001</v>
      </c>
      <c r="P70" s="1">
        <v>70</v>
      </c>
      <c r="Q70" s="1">
        <v>8</v>
      </c>
      <c r="R70" s="1" t="str">
        <f t="shared" si="4"/>
        <v>Aprovado</v>
      </c>
      <c r="S70" s="1" t="s">
        <v>27</v>
      </c>
      <c r="T70" s="1" t="s">
        <v>40</v>
      </c>
      <c r="U70" s="1" t="s">
        <v>653</v>
      </c>
      <c r="V70" s="1">
        <v>2024</v>
      </c>
      <c r="W70" s="1" t="s">
        <v>994</v>
      </c>
      <c r="X70" s="1" t="s">
        <v>1002</v>
      </c>
      <c r="Y70" s="1" t="s">
        <v>310</v>
      </c>
    </row>
    <row r="71" spans="1:25" ht="15.75" x14ac:dyDescent="0.25">
      <c r="A71">
        <v>70</v>
      </c>
      <c r="B71" t="s">
        <v>1090</v>
      </c>
      <c r="C71" t="s">
        <v>43</v>
      </c>
      <c r="D71" s="1">
        <v>30</v>
      </c>
      <c r="E71" s="1" t="s">
        <v>983</v>
      </c>
      <c r="F71" s="1" t="s">
        <v>984</v>
      </c>
      <c r="G71" s="1">
        <v>3</v>
      </c>
      <c r="H71" s="1" t="s">
        <v>992</v>
      </c>
      <c r="I71" s="1" t="s">
        <v>1041</v>
      </c>
      <c r="J71" s="1" t="s">
        <v>1008</v>
      </c>
      <c r="K71" s="1">
        <v>2</v>
      </c>
      <c r="L71" s="1">
        <v>17.100000000000001</v>
      </c>
      <c r="M71" s="1">
        <v>14.6</v>
      </c>
      <c r="N71" s="1">
        <v>10.6</v>
      </c>
      <c r="O71" s="1">
        <f t="shared" si="3"/>
        <v>14.100000000000001</v>
      </c>
      <c r="P71" s="1">
        <v>65</v>
      </c>
      <c r="Q71" s="1">
        <v>8</v>
      </c>
      <c r="R71" s="1" t="str">
        <f t="shared" si="4"/>
        <v>Aprovado</v>
      </c>
      <c r="S71" s="1" t="s">
        <v>66</v>
      </c>
      <c r="T71" s="1" t="s">
        <v>40</v>
      </c>
      <c r="U71" s="1" t="s">
        <v>647</v>
      </c>
      <c r="V71" s="1">
        <v>2025</v>
      </c>
      <c r="W71" s="1" t="s">
        <v>994</v>
      </c>
      <c r="X71" s="1" t="s">
        <v>1002</v>
      </c>
      <c r="Y71" s="1" t="s">
        <v>310</v>
      </c>
    </row>
    <row r="72" spans="1:25" ht="15.75" x14ac:dyDescent="0.25">
      <c r="A72">
        <v>71</v>
      </c>
      <c r="B72" t="s">
        <v>1091</v>
      </c>
      <c r="C72" t="s">
        <v>43</v>
      </c>
      <c r="D72" s="1">
        <v>29</v>
      </c>
      <c r="E72" s="1" t="s">
        <v>996</v>
      </c>
      <c r="F72" s="1" t="s">
        <v>984</v>
      </c>
      <c r="G72" s="1">
        <v>4</v>
      </c>
      <c r="H72" s="1" t="s">
        <v>1025</v>
      </c>
      <c r="I72" s="1" t="s">
        <v>997</v>
      </c>
      <c r="J72" s="1" t="s">
        <v>1043</v>
      </c>
      <c r="K72" s="1">
        <v>1</v>
      </c>
      <c r="L72" s="1">
        <v>11.4</v>
      </c>
      <c r="M72" s="1">
        <v>12.8</v>
      </c>
      <c r="N72" s="1">
        <v>11.6</v>
      </c>
      <c r="O72" s="1">
        <f t="shared" si="3"/>
        <v>11.933333333333335</v>
      </c>
      <c r="P72" s="1">
        <v>78</v>
      </c>
      <c r="Q72" s="1">
        <v>8</v>
      </c>
      <c r="R72" s="1" t="str">
        <f t="shared" si="4"/>
        <v>Aprovado</v>
      </c>
      <c r="S72" s="1" t="s">
        <v>66</v>
      </c>
      <c r="T72" s="1" t="s">
        <v>27</v>
      </c>
      <c r="U72" s="1" t="s">
        <v>647</v>
      </c>
      <c r="V72" s="1">
        <v>2023</v>
      </c>
      <c r="W72" s="1" t="s">
        <v>994</v>
      </c>
      <c r="X72" s="1" t="s">
        <v>1002</v>
      </c>
      <c r="Y72" s="1" t="s">
        <v>310</v>
      </c>
    </row>
    <row r="73" spans="1:25" ht="15.75" x14ac:dyDescent="0.25">
      <c r="A73">
        <v>72</v>
      </c>
      <c r="B73" t="s">
        <v>1092</v>
      </c>
      <c r="C73" t="s">
        <v>43</v>
      </c>
      <c r="D73" s="1">
        <v>29</v>
      </c>
      <c r="E73" s="1" t="s">
        <v>991</v>
      </c>
      <c r="F73" s="1" t="s">
        <v>984</v>
      </c>
      <c r="G73" s="1">
        <v>2</v>
      </c>
      <c r="H73" s="1" t="s">
        <v>1000</v>
      </c>
      <c r="I73" s="1" t="s">
        <v>997</v>
      </c>
      <c r="J73" s="1" t="s">
        <v>1005</v>
      </c>
      <c r="K73" s="1">
        <v>1</v>
      </c>
      <c r="L73" s="1">
        <v>14.9</v>
      </c>
      <c r="M73" s="1">
        <v>9.5</v>
      </c>
      <c r="N73" s="1">
        <v>8.5</v>
      </c>
      <c r="O73" s="1">
        <f t="shared" si="3"/>
        <v>10.966666666666667</v>
      </c>
      <c r="P73" s="1">
        <v>77</v>
      </c>
      <c r="Q73" s="1">
        <v>6</v>
      </c>
      <c r="R73" s="1" t="str">
        <f t="shared" si="4"/>
        <v>Aprovado</v>
      </c>
      <c r="S73" s="1" t="s">
        <v>27</v>
      </c>
      <c r="T73" s="1" t="s">
        <v>49</v>
      </c>
      <c r="U73" s="1" t="s">
        <v>647</v>
      </c>
      <c r="V73" s="1">
        <v>2023</v>
      </c>
      <c r="W73" s="1" t="s">
        <v>994</v>
      </c>
      <c r="X73" s="1" t="s">
        <v>989</v>
      </c>
      <c r="Y73" s="1" t="s">
        <v>310</v>
      </c>
    </row>
    <row r="74" spans="1:25" ht="15.75" x14ac:dyDescent="0.25">
      <c r="A74">
        <v>73</v>
      </c>
      <c r="B74" t="s">
        <v>1093</v>
      </c>
      <c r="C74" t="s">
        <v>30</v>
      </c>
      <c r="D74" s="1">
        <v>18</v>
      </c>
      <c r="E74" s="1" t="s">
        <v>991</v>
      </c>
      <c r="F74" s="1" t="s">
        <v>984</v>
      </c>
      <c r="G74" s="1">
        <v>4</v>
      </c>
      <c r="H74" s="1" t="s">
        <v>1025</v>
      </c>
      <c r="I74" s="1" t="s">
        <v>997</v>
      </c>
      <c r="J74" s="1" t="s">
        <v>1034</v>
      </c>
      <c r="K74" s="1">
        <v>1</v>
      </c>
      <c r="L74" s="1">
        <v>10.1</v>
      </c>
      <c r="M74" s="1">
        <v>11.9</v>
      </c>
      <c r="N74" s="1">
        <v>8.9</v>
      </c>
      <c r="O74" s="1">
        <f t="shared" si="3"/>
        <v>10.299999999999999</v>
      </c>
      <c r="P74" s="1">
        <v>75</v>
      </c>
      <c r="Q74" s="1">
        <v>4</v>
      </c>
      <c r="R74" s="1" t="str">
        <f t="shared" si="4"/>
        <v>Aprovado</v>
      </c>
      <c r="S74" s="1" t="s">
        <v>66</v>
      </c>
      <c r="T74" s="1" t="s">
        <v>49</v>
      </c>
      <c r="U74" s="1" t="s">
        <v>653</v>
      </c>
      <c r="V74" s="1">
        <v>2022</v>
      </c>
      <c r="W74" s="1" t="s">
        <v>988</v>
      </c>
      <c r="X74" s="1" t="s">
        <v>989</v>
      </c>
      <c r="Y74" s="1" t="s">
        <v>310</v>
      </c>
    </row>
    <row r="75" spans="1:25" ht="15.75" x14ac:dyDescent="0.25">
      <c r="A75">
        <v>74</v>
      </c>
      <c r="B75" t="s">
        <v>1094</v>
      </c>
      <c r="C75" t="s">
        <v>30</v>
      </c>
      <c r="D75" s="1">
        <v>23</v>
      </c>
      <c r="E75" s="1" t="s">
        <v>983</v>
      </c>
      <c r="F75" s="1" t="s">
        <v>984</v>
      </c>
      <c r="G75" s="1">
        <v>4</v>
      </c>
      <c r="H75" s="1" t="s">
        <v>1000</v>
      </c>
      <c r="I75" s="1" t="s">
        <v>1054</v>
      </c>
      <c r="J75" s="1" t="s">
        <v>1043</v>
      </c>
      <c r="K75" s="1">
        <v>2</v>
      </c>
      <c r="L75" s="1">
        <v>11.2</v>
      </c>
      <c r="M75" s="1">
        <v>10.7</v>
      </c>
      <c r="N75" s="1">
        <v>14.6</v>
      </c>
      <c r="O75" s="1">
        <f t="shared" si="3"/>
        <v>12.166666666666666</v>
      </c>
      <c r="P75" s="1">
        <v>89</v>
      </c>
      <c r="Q75" s="1">
        <v>4</v>
      </c>
      <c r="R75" s="1" t="str">
        <f t="shared" si="4"/>
        <v>Aprovado</v>
      </c>
      <c r="S75" s="1" t="s">
        <v>66</v>
      </c>
      <c r="T75" s="1" t="s">
        <v>27</v>
      </c>
      <c r="U75" s="1" t="s">
        <v>647</v>
      </c>
      <c r="V75" s="1">
        <v>2022</v>
      </c>
      <c r="W75" s="1" t="s">
        <v>994</v>
      </c>
      <c r="X75" s="1" t="s">
        <v>1002</v>
      </c>
      <c r="Y75" s="1" t="s">
        <v>310</v>
      </c>
    </row>
    <row r="76" spans="1:25" ht="15.75" x14ac:dyDescent="0.25">
      <c r="A76">
        <v>75</v>
      </c>
      <c r="B76" t="s">
        <v>1095</v>
      </c>
      <c r="C76" t="s">
        <v>43</v>
      </c>
      <c r="D76" s="1">
        <v>33</v>
      </c>
      <c r="E76" s="1" t="s">
        <v>983</v>
      </c>
      <c r="F76" s="1" t="s">
        <v>984</v>
      </c>
      <c r="G76" s="1">
        <v>1</v>
      </c>
      <c r="H76" s="1" t="s">
        <v>1025</v>
      </c>
      <c r="I76" s="1" t="s">
        <v>1048</v>
      </c>
      <c r="J76" s="1" t="s">
        <v>1034</v>
      </c>
      <c r="K76" s="1">
        <v>2</v>
      </c>
      <c r="L76" s="1">
        <v>8.1999999999999993</v>
      </c>
      <c r="M76" s="1">
        <v>15.3</v>
      </c>
      <c r="N76" s="1">
        <v>13.6</v>
      </c>
      <c r="O76" s="1">
        <f t="shared" si="3"/>
        <v>12.366666666666667</v>
      </c>
      <c r="P76" s="1">
        <v>76</v>
      </c>
      <c r="Q76" s="1">
        <v>8</v>
      </c>
      <c r="R76" s="1" t="str">
        <f t="shared" si="4"/>
        <v>Aprovado</v>
      </c>
      <c r="S76" s="1" t="s">
        <v>27</v>
      </c>
      <c r="T76" s="1" t="s">
        <v>49</v>
      </c>
      <c r="U76" s="1" t="s">
        <v>653</v>
      </c>
      <c r="V76" s="1">
        <v>2024</v>
      </c>
      <c r="W76" s="1" t="s">
        <v>988</v>
      </c>
      <c r="X76" s="1" t="s">
        <v>1002</v>
      </c>
      <c r="Y76" s="1" t="s">
        <v>310</v>
      </c>
    </row>
    <row r="77" spans="1:25" ht="15.75" x14ac:dyDescent="0.25">
      <c r="A77">
        <v>76</v>
      </c>
      <c r="B77" t="s">
        <v>1096</v>
      </c>
      <c r="C77" t="s">
        <v>43</v>
      </c>
      <c r="D77" s="1">
        <v>31</v>
      </c>
      <c r="E77" s="1" t="s">
        <v>991</v>
      </c>
      <c r="F77" s="1" t="s">
        <v>984</v>
      </c>
      <c r="G77" s="1">
        <v>1</v>
      </c>
      <c r="H77" s="1" t="s">
        <v>992</v>
      </c>
      <c r="I77" s="1" t="s">
        <v>1041</v>
      </c>
      <c r="J77" s="1" t="s">
        <v>1043</v>
      </c>
      <c r="K77" s="1">
        <v>2</v>
      </c>
      <c r="L77" s="1">
        <v>16.7</v>
      </c>
      <c r="M77" s="1">
        <v>8.6</v>
      </c>
      <c r="N77" s="1">
        <v>16.100000000000001</v>
      </c>
      <c r="O77" s="1">
        <f t="shared" si="3"/>
        <v>13.799999999999999</v>
      </c>
      <c r="P77" s="1">
        <v>84</v>
      </c>
      <c r="Q77" s="1">
        <v>4</v>
      </c>
      <c r="R77" s="1" t="str">
        <f t="shared" si="4"/>
        <v>Aprovado</v>
      </c>
      <c r="S77" s="1" t="s">
        <v>49</v>
      </c>
      <c r="T77" s="1" t="s">
        <v>27</v>
      </c>
      <c r="U77" s="1" t="s">
        <v>647</v>
      </c>
      <c r="V77" s="1">
        <v>2023</v>
      </c>
      <c r="W77" s="1" t="s">
        <v>994</v>
      </c>
      <c r="X77" s="1" t="s">
        <v>989</v>
      </c>
      <c r="Y77" s="1" t="s">
        <v>310</v>
      </c>
    </row>
    <row r="78" spans="1:25" ht="15.75" x14ac:dyDescent="0.25">
      <c r="A78">
        <v>77</v>
      </c>
      <c r="B78" t="s">
        <v>1097</v>
      </c>
      <c r="C78" t="s">
        <v>30</v>
      </c>
      <c r="D78" s="1">
        <v>18</v>
      </c>
      <c r="E78" s="1" t="s">
        <v>983</v>
      </c>
      <c r="F78" s="1" t="s">
        <v>984</v>
      </c>
      <c r="G78" s="1">
        <v>1</v>
      </c>
      <c r="H78" s="1" t="s">
        <v>985</v>
      </c>
      <c r="I78" s="1" t="s">
        <v>1007</v>
      </c>
      <c r="J78" s="1" t="s">
        <v>1020</v>
      </c>
      <c r="K78" s="1">
        <v>2</v>
      </c>
      <c r="L78" s="1">
        <v>12.2</v>
      </c>
      <c r="M78" s="1">
        <v>13.6</v>
      </c>
      <c r="N78" s="1">
        <v>19.100000000000001</v>
      </c>
      <c r="O78" s="1">
        <f t="shared" si="3"/>
        <v>14.966666666666667</v>
      </c>
      <c r="P78" s="1">
        <v>83</v>
      </c>
      <c r="Q78" s="1">
        <v>4</v>
      </c>
      <c r="R78" s="1" t="str">
        <f t="shared" si="4"/>
        <v>Aprovado</v>
      </c>
      <c r="S78" s="1" t="s">
        <v>66</v>
      </c>
      <c r="T78" s="1" t="s">
        <v>27</v>
      </c>
      <c r="U78" s="1" t="s">
        <v>653</v>
      </c>
      <c r="V78" s="1">
        <v>2024</v>
      </c>
      <c r="W78" s="1" t="s">
        <v>988</v>
      </c>
      <c r="X78" s="1" t="s">
        <v>989</v>
      </c>
      <c r="Y78" s="1" t="s">
        <v>310</v>
      </c>
    </row>
    <row r="79" spans="1:25" ht="15.75" x14ac:dyDescent="0.25">
      <c r="A79">
        <v>78</v>
      </c>
      <c r="B79" t="s">
        <v>1098</v>
      </c>
      <c r="C79" t="s">
        <v>43</v>
      </c>
      <c r="D79" s="1">
        <v>20</v>
      </c>
      <c r="E79" s="1" t="s">
        <v>983</v>
      </c>
      <c r="F79" s="1" t="s">
        <v>984</v>
      </c>
      <c r="G79" s="1">
        <v>2</v>
      </c>
      <c r="H79" s="1" t="s">
        <v>985</v>
      </c>
      <c r="I79" s="1" t="s">
        <v>1007</v>
      </c>
      <c r="J79" s="1" t="s">
        <v>1001</v>
      </c>
      <c r="K79" s="1">
        <v>1</v>
      </c>
      <c r="L79" s="1">
        <v>15.8</v>
      </c>
      <c r="M79" s="1">
        <v>8.1999999999999993</v>
      </c>
      <c r="N79" s="1">
        <v>8.6</v>
      </c>
      <c r="O79" s="1">
        <f t="shared" si="3"/>
        <v>10.866666666666667</v>
      </c>
      <c r="P79" s="1">
        <v>80</v>
      </c>
      <c r="Q79" s="1">
        <v>5</v>
      </c>
      <c r="R79" s="1" t="str">
        <f t="shared" si="4"/>
        <v>Aprovado</v>
      </c>
      <c r="S79" s="1" t="s">
        <v>49</v>
      </c>
      <c r="T79" s="1" t="s">
        <v>27</v>
      </c>
      <c r="U79" s="1" t="s">
        <v>653</v>
      </c>
      <c r="V79" s="1">
        <v>2024</v>
      </c>
      <c r="W79" s="1" t="s">
        <v>988</v>
      </c>
      <c r="X79" s="1" t="s">
        <v>989</v>
      </c>
      <c r="Y79" s="1" t="s">
        <v>310</v>
      </c>
    </row>
    <row r="80" spans="1:25" ht="15.75" x14ac:dyDescent="0.25">
      <c r="A80">
        <v>79</v>
      </c>
      <c r="B80" t="s">
        <v>1099</v>
      </c>
      <c r="C80" t="s">
        <v>30</v>
      </c>
      <c r="D80" s="1">
        <v>25</v>
      </c>
      <c r="E80" s="1" t="s">
        <v>983</v>
      </c>
      <c r="F80" s="1" t="s">
        <v>984</v>
      </c>
      <c r="G80" s="1">
        <v>4</v>
      </c>
      <c r="H80" s="1" t="s">
        <v>1025</v>
      </c>
      <c r="I80" s="1" t="s">
        <v>1041</v>
      </c>
      <c r="J80" s="1" t="s">
        <v>1015</v>
      </c>
      <c r="K80" s="1">
        <v>2</v>
      </c>
      <c r="L80" s="1">
        <v>16.8</v>
      </c>
      <c r="M80" s="1">
        <v>13.5</v>
      </c>
      <c r="N80" s="1">
        <v>12.6</v>
      </c>
      <c r="O80" s="1">
        <f t="shared" si="3"/>
        <v>14.299999999999999</v>
      </c>
      <c r="P80" s="1">
        <v>84</v>
      </c>
      <c r="Q80" s="1">
        <v>5</v>
      </c>
      <c r="R80" s="1" t="str">
        <f t="shared" si="4"/>
        <v>Aprovado</v>
      </c>
      <c r="S80" s="1" t="s">
        <v>49</v>
      </c>
      <c r="T80" s="1" t="s">
        <v>49</v>
      </c>
      <c r="U80" s="1" t="s">
        <v>653</v>
      </c>
      <c r="V80" s="1">
        <v>2025</v>
      </c>
      <c r="W80" s="1" t="s">
        <v>988</v>
      </c>
      <c r="X80" s="1" t="s">
        <v>989</v>
      </c>
      <c r="Y80" s="1" t="s">
        <v>310</v>
      </c>
    </row>
    <row r="81" spans="1:25" ht="15.75" x14ac:dyDescent="0.25">
      <c r="A81">
        <v>80</v>
      </c>
      <c r="B81" t="s">
        <v>1100</v>
      </c>
      <c r="C81" t="s">
        <v>43</v>
      </c>
      <c r="D81" s="1">
        <v>35</v>
      </c>
      <c r="E81" s="1" t="s">
        <v>983</v>
      </c>
      <c r="F81" s="1" t="s">
        <v>984</v>
      </c>
      <c r="G81" s="1">
        <v>2</v>
      </c>
      <c r="H81" s="1" t="s">
        <v>992</v>
      </c>
      <c r="I81" s="1" t="s">
        <v>1022</v>
      </c>
      <c r="J81" s="1" t="s">
        <v>1029</v>
      </c>
      <c r="K81" s="1">
        <v>2</v>
      </c>
      <c r="L81" s="1">
        <v>11.5</v>
      </c>
      <c r="M81" s="1">
        <v>18</v>
      </c>
      <c r="N81" s="1">
        <v>18</v>
      </c>
      <c r="O81" s="1">
        <f t="shared" si="3"/>
        <v>15.833333333333334</v>
      </c>
      <c r="P81" s="1">
        <v>86</v>
      </c>
      <c r="Q81" s="1">
        <v>8</v>
      </c>
      <c r="R81" s="1" t="str">
        <f t="shared" si="4"/>
        <v>Aprovado</v>
      </c>
      <c r="S81" s="1" t="s">
        <v>27</v>
      </c>
      <c r="T81" s="1" t="s">
        <v>49</v>
      </c>
      <c r="U81" s="1" t="s">
        <v>647</v>
      </c>
      <c r="V81" s="1">
        <v>2026</v>
      </c>
      <c r="W81" s="1" t="s">
        <v>994</v>
      </c>
      <c r="X81" s="1" t="s">
        <v>1002</v>
      </c>
      <c r="Y81" s="1" t="s">
        <v>310</v>
      </c>
    </row>
    <row r="82" spans="1:25" ht="15.75" x14ac:dyDescent="0.25">
      <c r="A82">
        <v>81</v>
      </c>
      <c r="B82" t="s">
        <v>1101</v>
      </c>
      <c r="C82" t="s">
        <v>30</v>
      </c>
      <c r="D82" s="1">
        <v>33</v>
      </c>
      <c r="E82" s="1" t="s">
        <v>983</v>
      </c>
      <c r="F82" s="1" t="s">
        <v>984</v>
      </c>
      <c r="G82" s="1">
        <v>4</v>
      </c>
      <c r="H82" s="1" t="s">
        <v>1000</v>
      </c>
      <c r="I82" s="1" t="s">
        <v>1017</v>
      </c>
      <c r="J82" s="1" t="s">
        <v>1001</v>
      </c>
      <c r="K82" s="1">
        <v>1</v>
      </c>
      <c r="L82" s="1">
        <v>15.3</v>
      </c>
      <c r="M82" s="1">
        <v>17</v>
      </c>
      <c r="N82" s="1">
        <v>15.5</v>
      </c>
      <c r="O82" s="1">
        <f t="shared" si="3"/>
        <v>15.933333333333332</v>
      </c>
      <c r="P82" s="1">
        <v>78</v>
      </c>
      <c r="Q82" s="1">
        <v>8</v>
      </c>
      <c r="R82" s="1" t="str">
        <f t="shared" si="4"/>
        <v>Aprovado</v>
      </c>
      <c r="S82" s="1" t="s">
        <v>27</v>
      </c>
      <c r="T82" s="1" t="s">
        <v>40</v>
      </c>
      <c r="U82" s="1" t="s">
        <v>653</v>
      </c>
      <c r="V82" s="1">
        <v>2022</v>
      </c>
      <c r="W82" s="1" t="s">
        <v>994</v>
      </c>
      <c r="X82" s="1" t="s">
        <v>989</v>
      </c>
      <c r="Y82" s="1" t="s">
        <v>310</v>
      </c>
    </row>
    <row r="83" spans="1:25" ht="15.75" x14ac:dyDescent="0.25">
      <c r="A83">
        <v>82</v>
      </c>
      <c r="B83" t="s">
        <v>1102</v>
      </c>
      <c r="C83" t="s">
        <v>43</v>
      </c>
      <c r="D83" s="1">
        <v>32</v>
      </c>
      <c r="E83" s="1" t="s">
        <v>996</v>
      </c>
      <c r="F83" s="1" t="s">
        <v>984</v>
      </c>
      <c r="G83" s="1">
        <v>1</v>
      </c>
      <c r="H83" s="1" t="s">
        <v>985</v>
      </c>
      <c r="I83" s="1" t="s">
        <v>1048</v>
      </c>
      <c r="J83" s="1" t="s">
        <v>1001</v>
      </c>
      <c r="K83" s="1">
        <v>2</v>
      </c>
      <c r="L83" s="1">
        <v>12.4</v>
      </c>
      <c r="M83" s="1">
        <v>8.8000000000000007</v>
      </c>
      <c r="N83" s="1">
        <v>14.5</v>
      </c>
      <c r="O83" s="1">
        <f t="shared" si="3"/>
        <v>11.9</v>
      </c>
      <c r="P83" s="1">
        <v>95</v>
      </c>
      <c r="Q83" s="1">
        <v>6</v>
      </c>
      <c r="R83" s="1" t="str">
        <f t="shared" si="4"/>
        <v>Aprovado</v>
      </c>
      <c r="S83" s="1" t="s">
        <v>66</v>
      </c>
      <c r="T83" s="1" t="s">
        <v>27</v>
      </c>
      <c r="U83" s="1" t="s">
        <v>647</v>
      </c>
      <c r="V83" s="1">
        <v>2024</v>
      </c>
      <c r="W83" s="1" t="s">
        <v>988</v>
      </c>
      <c r="X83" s="1" t="s">
        <v>989</v>
      </c>
      <c r="Y83" s="1" t="s">
        <v>310</v>
      </c>
    </row>
    <row r="84" spans="1:25" ht="15.75" x14ac:dyDescent="0.25">
      <c r="A84">
        <v>83</v>
      </c>
      <c r="B84" t="s">
        <v>1103</v>
      </c>
      <c r="C84" t="s">
        <v>30</v>
      </c>
      <c r="D84" s="1">
        <v>34</v>
      </c>
      <c r="E84" s="1" t="s">
        <v>983</v>
      </c>
      <c r="F84" s="1" t="s">
        <v>984</v>
      </c>
      <c r="G84" s="1">
        <v>2</v>
      </c>
      <c r="H84" s="1" t="s">
        <v>1000</v>
      </c>
      <c r="I84" s="1" t="s">
        <v>1010</v>
      </c>
      <c r="J84" s="1" t="s">
        <v>987</v>
      </c>
      <c r="K84" s="1">
        <v>1</v>
      </c>
      <c r="L84" s="1">
        <v>8.1</v>
      </c>
      <c r="M84" s="1">
        <v>14.6</v>
      </c>
      <c r="N84" s="1">
        <v>10.1</v>
      </c>
      <c r="O84" s="1">
        <f t="shared" si="3"/>
        <v>10.933333333333332</v>
      </c>
      <c r="P84" s="1">
        <v>76</v>
      </c>
      <c r="Q84" s="1">
        <v>8</v>
      </c>
      <c r="R84" s="1" t="str">
        <f t="shared" si="4"/>
        <v>Aprovado</v>
      </c>
      <c r="S84" s="1" t="s">
        <v>66</v>
      </c>
      <c r="T84" s="1" t="s">
        <v>49</v>
      </c>
      <c r="U84" s="1" t="s">
        <v>653</v>
      </c>
      <c r="V84" s="1">
        <v>2024</v>
      </c>
      <c r="W84" s="1" t="s">
        <v>994</v>
      </c>
      <c r="X84" s="1" t="s">
        <v>989</v>
      </c>
      <c r="Y84" s="1" t="s">
        <v>310</v>
      </c>
    </row>
    <row r="85" spans="1:25" ht="15.75" x14ac:dyDescent="0.25">
      <c r="A85">
        <v>84</v>
      </c>
      <c r="B85" t="s">
        <v>1104</v>
      </c>
      <c r="C85" t="s">
        <v>43</v>
      </c>
      <c r="D85" s="1">
        <v>20</v>
      </c>
      <c r="E85" s="1" t="s">
        <v>991</v>
      </c>
      <c r="F85" s="1" t="s">
        <v>984</v>
      </c>
      <c r="G85" s="1">
        <v>3</v>
      </c>
      <c r="H85" s="1" t="s">
        <v>985</v>
      </c>
      <c r="I85" s="1" t="s">
        <v>986</v>
      </c>
      <c r="J85" s="1" t="s">
        <v>987</v>
      </c>
      <c r="K85" s="1">
        <v>1</v>
      </c>
      <c r="L85" s="1">
        <v>10.5</v>
      </c>
      <c r="M85" s="1">
        <v>17.600000000000001</v>
      </c>
      <c r="N85" s="1">
        <v>18.2</v>
      </c>
      <c r="O85" s="1">
        <f t="shared" si="3"/>
        <v>15.433333333333332</v>
      </c>
      <c r="P85" s="1">
        <v>87</v>
      </c>
      <c r="Q85" s="1">
        <v>6</v>
      </c>
      <c r="R85" s="1" t="str">
        <f t="shared" si="4"/>
        <v>Aprovado</v>
      </c>
      <c r="S85" s="1" t="s">
        <v>49</v>
      </c>
      <c r="T85" s="1" t="s">
        <v>49</v>
      </c>
      <c r="U85" s="1" t="s">
        <v>647</v>
      </c>
      <c r="V85" s="1">
        <v>2026</v>
      </c>
      <c r="W85" s="1" t="s">
        <v>988</v>
      </c>
      <c r="X85" s="1" t="s">
        <v>989</v>
      </c>
      <c r="Y85" s="1" t="s">
        <v>310</v>
      </c>
    </row>
    <row r="86" spans="1:25" ht="15.75" x14ac:dyDescent="0.25">
      <c r="A86">
        <v>85</v>
      </c>
      <c r="B86" t="s">
        <v>1105</v>
      </c>
      <c r="C86" t="s">
        <v>43</v>
      </c>
      <c r="D86" s="1">
        <v>27</v>
      </c>
      <c r="E86" s="1" t="s">
        <v>996</v>
      </c>
      <c r="F86" s="1" t="s">
        <v>984</v>
      </c>
      <c r="G86" s="1">
        <v>3</v>
      </c>
      <c r="H86" s="1" t="s">
        <v>985</v>
      </c>
      <c r="I86" s="1" t="s">
        <v>1022</v>
      </c>
      <c r="J86" s="1" t="s">
        <v>998</v>
      </c>
      <c r="K86" s="1">
        <v>2</v>
      </c>
      <c r="L86" s="1">
        <v>9.5</v>
      </c>
      <c r="M86" s="1">
        <v>8.4</v>
      </c>
      <c r="N86" s="1">
        <v>14.7</v>
      </c>
      <c r="O86" s="1">
        <f t="shared" si="3"/>
        <v>10.866666666666665</v>
      </c>
      <c r="P86" s="1">
        <v>91</v>
      </c>
      <c r="Q86" s="1">
        <v>6</v>
      </c>
      <c r="R86" s="1" t="str">
        <f t="shared" si="4"/>
        <v>Aprovado</v>
      </c>
      <c r="S86" s="1" t="s">
        <v>49</v>
      </c>
      <c r="T86" s="1" t="s">
        <v>40</v>
      </c>
      <c r="U86" s="1" t="s">
        <v>653</v>
      </c>
      <c r="V86" s="1">
        <v>2022</v>
      </c>
      <c r="W86" s="1" t="s">
        <v>988</v>
      </c>
      <c r="X86" s="1" t="s">
        <v>1002</v>
      </c>
      <c r="Y86" s="1" t="s">
        <v>310</v>
      </c>
    </row>
    <row r="87" spans="1:25" ht="15.75" x14ac:dyDescent="0.25">
      <c r="A87">
        <v>86</v>
      </c>
      <c r="B87" t="s">
        <v>1106</v>
      </c>
      <c r="C87" t="s">
        <v>30</v>
      </c>
      <c r="D87" s="1">
        <v>28</v>
      </c>
      <c r="E87" s="1" t="s">
        <v>983</v>
      </c>
      <c r="F87" s="1" t="s">
        <v>984</v>
      </c>
      <c r="G87" s="1">
        <v>1</v>
      </c>
      <c r="H87" s="1" t="s">
        <v>985</v>
      </c>
      <c r="I87" s="1" t="s">
        <v>1054</v>
      </c>
      <c r="J87" s="1" t="s">
        <v>1001</v>
      </c>
      <c r="K87" s="1">
        <v>1</v>
      </c>
      <c r="L87" s="1">
        <v>15.9</v>
      </c>
      <c r="M87" s="1">
        <v>15.4</v>
      </c>
      <c r="N87" s="1">
        <v>16.600000000000001</v>
      </c>
      <c r="O87" s="1">
        <f t="shared" si="3"/>
        <v>15.966666666666669</v>
      </c>
      <c r="P87" s="1">
        <v>89</v>
      </c>
      <c r="Q87" s="1">
        <v>5</v>
      </c>
      <c r="R87" s="1" t="str">
        <f t="shared" si="4"/>
        <v>Aprovado</v>
      </c>
      <c r="S87" s="1" t="s">
        <v>49</v>
      </c>
      <c r="T87" s="1" t="s">
        <v>49</v>
      </c>
      <c r="U87" s="1" t="s">
        <v>647</v>
      </c>
      <c r="V87" s="1">
        <v>2025</v>
      </c>
      <c r="W87" s="1" t="s">
        <v>988</v>
      </c>
      <c r="X87" s="1" t="s">
        <v>1002</v>
      </c>
      <c r="Y87" s="1" t="s">
        <v>310</v>
      </c>
    </row>
    <row r="88" spans="1:25" ht="15.75" x14ac:dyDescent="0.25">
      <c r="A88">
        <v>87</v>
      </c>
      <c r="B88" t="s">
        <v>1107</v>
      </c>
      <c r="C88" t="s">
        <v>30</v>
      </c>
      <c r="D88" s="1">
        <v>18</v>
      </c>
      <c r="E88" s="1" t="s">
        <v>996</v>
      </c>
      <c r="F88" s="1" t="s">
        <v>984</v>
      </c>
      <c r="G88" s="1">
        <v>1</v>
      </c>
      <c r="H88" s="1" t="s">
        <v>992</v>
      </c>
      <c r="I88" s="1" t="s">
        <v>1012</v>
      </c>
      <c r="J88" s="1" t="s">
        <v>987</v>
      </c>
      <c r="K88" s="1">
        <v>1</v>
      </c>
      <c r="L88" s="1">
        <v>11.9</v>
      </c>
      <c r="M88" s="1">
        <v>13.7</v>
      </c>
      <c r="N88" s="1">
        <v>9.9</v>
      </c>
      <c r="O88" s="1">
        <f t="shared" si="3"/>
        <v>11.833333333333334</v>
      </c>
      <c r="P88" s="1">
        <v>74</v>
      </c>
      <c r="Q88" s="1">
        <v>7</v>
      </c>
      <c r="R88" s="1" t="str">
        <f t="shared" si="4"/>
        <v>Aprovado</v>
      </c>
      <c r="S88" s="1" t="s">
        <v>49</v>
      </c>
      <c r="T88" s="1" t="s">
        <v>27</v>
      </c>
      <c r="U88" s="1" t="s">
        <v>647</v>
      </c>
      <c r="V88" s="1">
        <v>2025</v>
      </c>
      <c r="W88" s="1" t="s">
        <v>988</v>
      </c>
      <c r="X88" s="1" t="s">
        <v>989</v>
      </c>
      <c r="Y88" s="1" t="s">
        <v>310</v>
      </c>
    </row>
    <row r="89" spans="1:25" ht="15.75" x14ac:dyDescent="0.25">
      <c r="A89">
        <v>88</v>
      </c>
      <c r="B89" t="s">
        <v>1108</v>
      </c>
      <c r="C89" t="s">
        <v>43</v>
      </c>
      <c r="D89" s="1">
        <v>24</v>
      </c>
      <c r="E89" s="1" t="s">
        <v>983</v>
      </c>
      <c r="F89" s="1" t="s">
        <v>984</v>
      </c>
      <c r="G89" s="1">
        <v>4</v>
      </c>
      <c r="H89" s="1" t="s">
        <v>992</v>
      </c>
      <c r="I89" s="1" t="s">
        <v>1012</v>
      </c>
      <c r="J89" s="1" t="s">
        <v>987</v>
      </c>
      <c r="K89" s="1">
        <v>2</v>
      </c>
      <c r="L89" s="1">
        <v>10.1</v>
      </c>
      <c r="M89" s="1">
        <v>15.7</v>
      </c>
      <c r="N89" s="1">
        <v>17.399999999999999</v>
      </c>
      <c r="O89" s="1">
        <f t="shared" si="3"/>
        <v>14.399999999999999</v>
      </c>
      <c r="P89" s="1">
        <v>78</v>
      </c>
      <c r="Q89" s="1">
        <v>5</v>
      </c>
      <c r="R89" s="1" t="str">
        <f t="shared" si="4"/>
        <v>Aprovado</v>
      </c>
      <c r="S89" s="1" t="s">
        <v>66</v>
      </c>
      <c r="T89" s="1" t="s">
        <v>49</v>
      </c>
      <c r="U89" s="1" t="s">
        <v>653</v>
      </c>
      <c r="V89" s="1">
        <v>2022</v>
      </c>
      <c r="W89" s="1" t="s">
        <v>994</v>
      </c>
      <c r="X89" s="1" t="s">
        <v>989</v>
      </c>
      <c r="Y89" s="1" t="s">
        <v>310</v>
      </c>
    </row>
    <row r="90" spans="1:25" ht="15.75" x14ac:dyDescent="0.25">
      <c r="A90">
        <v>89</v>
      </c>
      <c r="B90" t="s">
        <v>1109</v>
      </c>
      <c r="C90" t="s">
        <v>30</v>
      </c>
      <c r="D90" s="1">
        <v>33</v>
      </c>
      <c r="E90" s="1" t="s">
        <v>983</v>
      </c>
      <c r="F90" s="1" t="s">
        <v>984</v>
      </c>
      <c r="G90" s="1">
        <v>2</v>
      </c>
      <c r="H90" s="1" t="s">
        <v>1025</v>
      </c>
      <c r="I90" s="1" t="s">
        <v>1010</v>
      </c>
      <c r="J90" s="1" t="s">
        <v>1034</v>
      </c>
      <c r="K90" s="1">
        <v>2</v>
      </c>
      <c r="L90" s="1">
        <v>15.3</v>
      </c>
      <c r="M90" s="1">
        <v>14</v>
      </c>
      <c r="N90" s="1">
        <v>12.2</v>
      </c>
      <c r="O90" s="1">
        <f t="shared" si="3"/>
        <v>13.833333333333334</v>
      </c>
      <c r="P90" s="1">
        <v>66</v>
      </c>
      <c r="Q90" s="1">
        <v>6</v>
      </c>
      <c r="R90" s="1" t="str">
        <f t="shared" si="4"/>
        <v>Aprovado</v>
      </c>
      <c r="S90" s="1" t="s">
        <v>27</v>
      </c>
      <c r="T90" s="1" t="s">
        <v>40</v>
      </c>
      <c r="U90" s="1" t="s">
        <v>647</v>
      </c>
      <c r="V90" s="1">
        <v>2024</v>
      </c>
      <c r="W90" s="1" t="s">
        <v>988</v>
      </c>
      <c r="X90" s="1" t="s">
        <v>989</v>
      </c>
      <c r="Y90" s="1" t="s">
        <v>310</v>
      </c>
    </row>
    <row r="91" spans="1:25" ht="15.75" x14ac:dyDescent="0.25">
      <c r="A91">
        <v>90</v>
      </c>
      <c r="B91" t="s">
        <v>1110</v>
      </c>
      <c r="C91" t="s">
        <v>30</v>
      </c>
      <c r="D91" s="1">
        <v>31</v>
      </c>
      <c r="E91" s="1" t="s">
        <v>991</v>
      </c>
      <c r="F91" s="1" t="s">
        <v>984</v>
      </c>
      <c r="G91" s="1">
        <v>2</v>
      </c>
      <c r="H91" s="1" t="s">
        <v>1025</v>
      </c>
      <c r="I91" s="1" t="s">
        <v>1048</v>
      </c>
      <c r="J91" s="1" t="s">
        <v>1008</v>
      </c>
      <c r="K91" s="1">
        <v>1</v>
      </c>
      <c r="L91" s="1">
        <v>11.3</v>
      </c>
      <c r="M91" s="1">
        <v>14.5</v>
      </c>
      <c r="N91" s="1">
        <v>14.3</v>
      </c>
      <c r="O91" s="1">
        <f t="shared" si="3"/>
        <v>13.366666666666667</v>
      </c>
      <c r="P91" s="1">
        <v>79</v>
      </c>
      <c r="Q91" s="1">
        <v>7</v>
      </c>
      <c r="R91" s="1" t="str">
        <f t="shared" si="4"/>
        <v>Aprovado</v>
      </c>
      <c r="S91" s="1" t="s">
        <v>49</v>
      </c>
      <c r="T91" s="1" t="s">
        <v>27</v>
      </c>
      <c r="U91" s="1" t="s">
        <v>647</v>
      </c>
      <c r="V91" s="1">
        <v>2023</v>
      </c>
      <c r="W91" s="1" t="s">
        <v>994</v>
      </c>
      <c r="X91" s="1" t="s">
        <v>989</v>
      </c>
      <c r="Y91" s="1" t="s">
        <v>310</v>
      </c>
    </row>
    <row r="92" spans="1:25" ht="15.75" x14ac:dyDescent="0.25">
      <c r="A92">
        <v>91</v>
      </c>
      <c r="B92" t="s">
        <v>1111</v>
      </c>
      <c r="C92" t="s">
        <v>43</v>
      </c>
      <c r="D92" s="1">
        <v>19</v>
      </c>
      <c r="E92" s="1" t="s">
        <v>991</v>
      </c>
      <c r="F92" s="1" t="s">
        <v>984</v>
      </c>
      <c r="G92" s="1">
        <v>2</v>
      </c>
      <c r="H92" s="1" t="s">
        <v>1025</v>
      </c>
      <c r="I92" s="1" t="s">
        <v>986</v>
      </c>
      <c r="J92" s="1" t="s">
        <v>1005</v>
      </c>
      <c r="K92" s="1">
        <v>2</v>
      </c>
      <c r="L92" s="1">
        <v>14</v>
      </c>
      <c r="M92" s="1">
        <v>14.5</v>
      </c>
      <c r="N92" s="1">
        <v>19.8</v>
      </c>
      <c r="O92" s="1">
        <f t="shared" si="3"/>
        <v>16.099999999999998</v>
      </c>
      <c r="P92" s="1">
        <v>63</v>
      </c>
      <c r="Q92" s="1">
        <v>6</v>
      </c>
      <c r="R92" s="1" t="str">
        <f t="shared" si="4"/>
        <v>Aprovado</v>
      </c>
      <c r="S92" s="1" t="s">
        <v>49</v>
      </c>
      <c r="T92" s="1" t="s">
        <v>49</v>
      </c>
      <c r="U92" s="1" t="s">
        <v>647</v>
      </c>
      <c r="V92" s="1">
        <v>2026</v>
      </c>
      <c r="W92" s="1" t="s">
        <v>988</v>
      </c>
      <c r="X92" s="1" t="s">
        <v>1002</v>
      </c>
      <c r="Y92" s="1" t="s">
        <v>310</v>
      </c>
    </row>
    <row r="93" spans="1:25" ht="15.75" x14ac:dyDescent="0.25">
      <c r="A93">
        <v>92</v>
      </c>
      <c r="B93" t="s">
        <v>1112</v>
      </c>
      <c r="C93" t="s">
        <v>30</v>
      </c>
      <c r="D93" s="1">
        <v>28</v>
      </c>
      <c r="E93" s="1" t="s">
        <v>996</v>
      </c>
      <c r="F93" s="1" t="s">
        <v>984</v>
      </c>
      <c r="G93" s="1">
        <v>1</v>
      </c>
      <c r="H93" s="1" t="s">
        <v>992</v>
      </c>
      <c r="I93" s="1" t="s">
        <v>1019</v>
      </c>
      <c r="J93" s="1" t="s">
        <v>1008</v>
      </c>
      <c r="K93" s="1">
        <v>1</v>
      </c>
      <c r="L93" s="1">
        <v>9.4</v>
      </c>
      <c r="M93" s="1">
        <v>17.100000000000001</v>
      </c>
      <c r="N93" s="1">
        <v>16.399999999999999</v>
      </c>
      <c r="O93" s="1">
        <f t="shared" si="3"/>
        <v>14.299999999999999</v>
      </c>
      <c r="P93" s="1">
        <v>83</v>
      </c>
      <c r="Q93" s="1">
        <v>6</v>
      </c>
      <c r="R93" s="1" t="str">
        <f t="shared" si="4"/>
        <v>Aprovado</v>
      </c>
      <c r="S93" s="1" t="s">
        <v>49</v>
      </c>
      <c r="T93" s="1" t="s">
        <v>27</v>
      </c>
      <c r="U93" s="1" t="s">
        <v>647</v>
      </c>
      <c r="V93" s="1">
        <v>2024</v>
      </c>
      <c r="W93" s="1" t="s">
        <v>988</v>
      </c>
      <c r="X93" s="1" t="s">
        <v>989</v>
      </c>
      <c r="Y93" s="1" t="s">
        <v>310</v>
      </c>
    </row>
    <row r="94" spans="1:25" ht="15.75" x14ac:dyDescent="0.25">
      <c r="A94">
        <v>93</v>
      </c>
      <c r="B94" t="s">
        <v>1113</v>
      </c>
      <c r="C94" t="s">
        <v>30</v>
      </c>
      <c r="D94" s="1">
        <v>30</v>
      </c>
      <c r="E94" s="1" t="s">
        <v>996</v>
      </c>
      <c r="F94" s="1" t="s">
        <v>984</v>
      </c>
      <c r="G94" s="1">
        <v>2</v>
      </c>
      <c r="H94" s="1" t="s">
        <v>1000</v>
      </c>
      <c r="I94" s="1" t="s">
        <v>1017</v>
      </c>
      <c r="J94" s="1" t="s">
        <v>1034</v>
      </c>
      <c r="K94" s="1">
        <v>1</v>
      </c>
      <c r="L94" s="1">
        <v>13.1</v>
      </c>
      <c r="M94" s="1">
        <v>9.9</v>
      </c>
      <c r="N94" s="1">
        <v>14.7</v>
      </c>
      <c r="O94" s="1">
        <f t="shared" si="3"/>
        <v>12.566666666666668</v>
      </c>
      <c r="P94" s="1">
        <v>88</v>
      </c>
      <c r="Q94" s="1">
        <v>4</v>
      </c>
      <c r="R94" s="1" t="str">
        <f t="shared" si="4"/>
        <v>Aprovado</v>
      </c>
      <c r="S94" s="1" t="s">
        <v>27</v>
      </c>
      <c r="T94" s="1" t="s">
        <v>27</v>
      </c>
      <c r="U94" s="1" t="s">
        <v>653</v>
      </c>
      <c r="V94" s="1">
        <v>2024</v>
      </c>
      <c r="W94" s="1" t="s">
        <v>994</v>
      </c>
      <c r="X94" s="1" t="s">
        <v>989</v>
      </c>
      <c r="Y94" s="1" t="s">
        <v>310</v>
      </c>
    </row>
    <row r="95" spans="1:25" ht="15.75" x14ac:dyDescent="0.25">
      <c r="A95">
        <v>94</v>
      </c>
      <c r="B95" t="s">
        <v>1114</v>
      </c>
      <c r="C95" t="s">
        <v>43</v>
      </c>
      <c r="D95" s="1">
        <v>34</v>
      </c>
      <c r="E95" s="1" t="s">
        <v>996</v>
      </c>
      <c r="F95" s="1" t="s">
        <v>984</v>
      </c>
      <c r="G95" s="1">
        <v>2</v>
      </c>
      <c r="H95" s="1" t="s">
        <v>1025</v>
      </c>
      <c r="I95" s="1" t="s">
        <v>986</v>
      </c>
      <c r="J95" s="1" t="s">
        <v>1005</v>
      </c>
      <c r="K95" s="1">
        <v>1</v>
      </c>
      <c r="L95" s="1">
        <v>14.8</v>
      </c>
      <c r="M95" s="1">
        <v>9.1999999999999993</v>
      </c>
      <c r="N95" s="1">
        <v>8.1999999999999993</v>
      </c>
      <c r="O95" s="1">
        <f t="shared" si="3"/>
        <v>10.733333333333334</v>
      </c>
      <c r="P95" s="1">
        <v>68</v>
      </c>
      <c r="Q95" s="1">
        <v>7</v>
      </c>
      <c r="R95" s="1" t="str">
        <f t="shared" si="4"/>
        <v>Aprovado</v>
      </c>
      <c r="S95" s="1" t="s">
        <v>66</v>
      </c>
      <c r="T95" s="1" t="s">
        <v>27</v>
      </c>
      <c r="U95" s="1" t="s">
        <v>647</v>
      </c>
      <c r="V95" s="1">
        <v>2022</v>
      </c>
      <c r="W95" s="1" t="s">
        <v>994</v>
      </c>
      <c r="X95" s="1" t="s">
        <v>989</v>
      </c>
      <c r="Y95" s="1" t="s">
        <v>310</v>
      </c>
    </row>
    <row r="96" spans="1:25" ht="15.75" x14ac:dyDescent="0.25">
      <c r="A96">
        <v>95</v>
      </c>
      <c r="B96" t="s">
        <v>1115</v>
      </c>
      <c r="C96" t="s">
        <v>43</v>
      </c>
      <c r="D96" s="1">
        <v>18</v>
      </c>
      <c r="E96" s="1" t="s">
        <v>991</v>
      </c>
      <c r="F96" s="1" t="s">
        <v>984</v>
      </c>
      <c r="G96" s="1">
        <v>1</v>
      </c>
      <c r="H96" s="1" t="s">
        <v>985</v>
      </c>
      <c r="I96" s="1" t="s">
        <v>1041</v>
      </c>
      <c r="J96" s="1" t="s">
        <v>1001</v>
      </c>
      <c r="K96" s="1">
        <v>2</v>
      </c>
      <c r="L96" s="1">
        <v>10.6</v>
      </c>
      <c r="M96" s="1">
        <v>17.7</v>
      </c>
      <c r="N96" s="1">
        <v>19.8</v>
      </c>
      <c r="O96" s="1">
        <f t="shared" si="3"/>
        <v>16.033333333333331</v>
      </c>
      <c r="P96" s="1">
        <v>64</v>
      </c>
      <c r="Q96" s="1">
        <v>6</v>
      </c>
      <c r="R96" s="1" t="str">
        <f t="shared" si="4"/>
        <v>Aprovado</v>
      </c>
      <c r="S96" s="1" t="s">
        <v>66</v>
      </c>
      <c r="T96" s="1" t="s">
        <v>49</v>
      </c>
      <c r="U96" s="1" t="s">
        <v>647</v>
      </c>
      <c r="V96" s="1">
        <v>2022</v>
      </c>
      <c r="W96" s="1" t="s">
        <v>988</v>
      </c>
      <c r="X96" s="1" t="s">
        <v>989</v>
      </c>
      <c r="Y96" s="1" t="s">
        <v>310</v>
      </c>
    </row>
    <row r="97" spans="1:25" ht="15.75" x14ac:dyDescent="0.25">
      <c r="A97">
        <v>96</v>
      </c>
      <c r="B97" t="s">
        <v>1116</v>
      </c>
      <c r="C97" t="s">
        <v>30</v>
      </c>
      <c r="D97" s="1">
        <v>24</v>
      </c>
      <c r="E97" s="1" t="s">
        <v>996</v>
      </c>
      <c r="F97" s="1" t="s">
        <v>984</v>
      </c>
      <c r="G97" s="1">
        <v>1</v>
      </c>
      <c r="H97" s="1" t="s">
        <v>985</v>
      </c>
      <c r="I97" s="1" t="s">
        <v>1019</v>
      </c>
      <c r="J97" s="1" t="s">
        <v>1043</v>
      </c>
      <c r="K97" s="1">
        <v>2</v>
      </c>
      <c r="L97" s="1">
        <v>12.4</v>
      </c>
      <c r="M97" s="1">
        <v>13.2</v>
      </c>
      <c r="N97" s="1">
        <v>19.3</v>
      </c>
      <c r="O97" s="1">
        <f t="shared" si="3"/>
        <v>14.966666666666669</v>
      </c>
      <c r="P97" s="1">
        <v>68</v>
      </c>
      <c r="Q97" s="1">
        <v>8</v>
      </c>
      <c r="R97" s="1" t="str">
        <f t="shared" si="4"/>
        <v>Aprovado</v>
      </c>
      <c r="S97" s="1" t="s">
        <v>66</v>
      </c>
      <c r="T97" s="1" t="s">
        <v>49</v>
      </c>
      <c r="U97" s="1" t="s">
        <v>653</v>
      </c>
      <c r="V97" s="1">
        <v>2022</v>
      </c>
      <c r="W97" s="1" t="s">
        <v>988</v>
      </c>
      <c r="X97" s="1" t="s">
        <v>989</v>
      </c>
      <c r="Y97" s="1" t="s">
        <v>310</v>
      </c>
    </row>
    <row r="98" spans="1:25" ht="15.75" x14ac:dyDescent="0.25">
      <c r="A98">
        <v>97</v>
      </c>
      <c r="B98" t="s">
        <v>1117</v>
      </c>
      <c r="C98" t="s">
        <v>43</v>
      </c>
      <c r="D98" s="1">
        <v>26</v>
      </c>
      <c r="E98" s="1" t="s">
        <v>996</v>
      </c>
      <c r="F98" s="1" t="s">
        <v>984</v>
      </c>
      <c r="G98" s="1">
        <v>4</v>
      </c>
      <c r="H98" s="1" t="s">
        <v>1025</v>
      </c>
      <c r="I98" s="1" t="s">
        <v>1022</v>
      </c>
      <c r="J98" s="1" t="s">
        <v>1032</v>
      </c>
      <c r="K98" s="1">
        <v>2</v>
      </c>
      <c r="L98" s="1">
        <v>16.600000000000001</v>
      </c>
      <c r="M98" s="1">
        <v>9.1999999999999993</v>
      </c>
      <c r="N98" s="1">
        <v>8.4</v>
      </c>
      <c r="O98" s="1">
        <f t="shared" si="3"/>
        <v>11.4</v>
      </c>
      <c r="P98" s="1">
        <v>86</v>
      </c>
      <c r="Q98" s="1">
        <v>6</v>
      </c>
      <c r="R98" s="1" t="str">
        <f t="shared" si="4"/>
        <v>Aprovado</v>
      </c>
      <c r="S98" s="1" t="s">
        <v>49</v>
      </c>
      <c r="T98" s="1" t="s">
        <v>40</v>
      </c>
      <c r="U98" s="1" t="s">
        <v>647</v>
      </c>
      <c r="V98" s="1">
        <v>2023</v>
      </c>
      <c r="W98" s="1" t="s">
        <v>994</v>
      </c>
      <c r="X98" s="1" t="s">
        <v>989</v>
      </c>
      <c r="Y98" s="1" t="s">
        <v>310</v>
      </c>
    </row>
    <row r="99" spans="1:25" ht="15.75" x14ac:dyDescent="0.25">
      <c r="A99">
        <v>98</v>
      </c>
      <c r="B99" t="s">
        <v>1118</v>
      </c>
      <c r="C99" t="s">
        <v>43</v>
      </c>
      <c r="D99" s="1">
        <v>25</v>
      </c>
      <c r="E99" s="1" t="s">
        <v>996</v>
      </c>
      <c r="F99" s="1" t="s">
        <v>984</v>
      </c>
      <c r="G99" s="1">
        <v>1</v>
      </c>
      <c r="H99" s="1" t="s">
        <v>1025</v>
      </c>
      <c r="I99" s="1" t="s">
        <v>1017</v>
      </c>
      <c r="J99" s="1" t="s">
        <v>1005</v>
      </c>
      <c r="K99" s="1">
        <v>2</v>
      </c>
      <c r="L99" s="1">
        <v>11.9</v>
      </c>
      <c r="M99" s="1">
        <v>13.3</v>
      </c>
      <c r="N99" s="1">
        <v>11.7</v>
      </c>
      <c r="O99" s="1">
        <f t="shared" si="3"/>
        <v>12.300000000000002</v>
      </c>
      <c r="P99" s="1">
        <v>83</v>
      </c>
      <c r="Q99" s="1">
        <v>7</v>
      </c>
      <c r="R99" s="1" t="str">
        <f t="shared" si="4"/>
        <v>Aprovado</v>
      </c>
      <c r="S99" s="1" t="s">
        <v>49</v>
      </c>
      <c r="T99" s="1" t="s">
        <v>49</v>
      </c>
      <c r="U99" s="1" t="s">
        <v>653</v>
      </c>
      <c r="V99" s="1">
        <v>2023</v>
      </c>
      <c r="W99" s="1" t="s">
        <v>988</v>
      </c>
      <c r="X99" s="1" t="s">
        <v>1002</v>
      </c>
      <c r="Y99" s="1" t="s">
        <v>310</v>
      </c>
    </row>
    <row r="100" spans="1:25" ht="15.75" x14ac:dyDescent="0.25">
      <c r="A100">
        <v>99</v>
      </c>
      <c r="B100" t="s">
        <v>1119</v>
      </c>
      <c r="C100" t="s">
        <v>30</v>
      </c>
      <c r="D100" s="1">
        <v>21</v>
      </c>
      <c r="E100" s="1" t="s">
        <v>991</v>
      </c>
      <c r="F100" s="1" t="s">
        <v>984</v>
      </c>
      <c r="G100" s="1">
        <v>3</v>
      </c>
      <c r="H100" s="1" t="s">
        <v>1025</v>
      </c>
      <c r="I100" s="1" t="s">
        <v>1048</v>
      </c>
      <c r="J100" s="1" t="s">
        <v>1020</v>
      </c>
      <c r="K100" s="1">
        <v>1</v>
      </c>
      <c r="L100" s="1">
        <v>15.2</v>
      </c>
      <c r="M100" s="1">
        <v>10</v>
      </c>
      <c r="N100" s="1">
        <v>15.1</v>
      </c>
      <c r="O100" s="1">
        <f t="shared" si="3"/>
        <v>13.433333333333332</v>
      </c>
      <c r="P100" s="1">
        <v>64</v>
      </c>
      <c r="Q100" s="1">
        <v>7</v>
      </c>
      <c r="R100" s="1" t="str">
        <f t="shared" si="4"/>
        <v>Aprovado</v>
      </c>
      <c r="S100" s="1" t="s">
        <v>27</v>
      </c>
      <c r="T100" s="1" t="s">
        <v>40</v>
      </c>
      <c r="U100" s="1" t="s">
        <v>647</v>
      </c>
      <c r="V100" s="1">
        <v>2023</v>
      </c>
      <c r="W100" s="1" t="s">
        <v>994</v>
      </c>
      <c r="X100" s="1" t="s">
        <v>989</v>
      </c>
      <c r="Y100" s="1" t="s">
        <v>310</v>
      </c>
    </row>
    <row r="101" spans="1:25" ht="15.75" x14ac:dyDescent="0.25">
      <c r="A101">
        <v>100</v>
      </c>
      <c r="B101" t="s">
        <v>1120</v>
      </c>
      <c r="C101" t="s">
        <v>43</v>
      </c>
      <c r="D101" s="1">
        <v>29</v>
      </c>
      <c r="E101" s="1" t="s">
        <v>996</v>
      </c>
      <c r="F101" s="1" t="s">
        <v>984</v>
      </c>
      <c r="G101" s="1">
        <v>2</v>
      </c>
      <c r="H101" s="1" t="s">
        <v>985</v>
      </c>
      <c r="I101" s="1" t="s">
        <v>1010</v>
      </c>
      <c r="J101" s="1" t="s">
        <v>1020</v>
      </c>
      <c r="K101" s="1">
        <v>1</v>
      </c>
      <c r="L101" s="1">
        <v>16.5</v>
      </c>
      <c r="M101" s="1">
        <v>14.3</v>
      </c>
      <c r="N101" s="1">
        <v>19.899999999999999</v>
      </c>
      <c r="O101" s="1">
        <f t="shared" si="3"/>
        <v>16.900000000000002</v>
      </c>
      <c r="P101" s="1">
        <v>99</v>
      </c>
      <c r="Q101" s="1">
        <v>4</v>
      </c>
      <c r="R101" s="1" t="str">
        <f t="shared" si="4"/>
        <v>Aprovado</v>
      </c>
      <c r="S101" s="1" t="s">
        <v>66</v>
      </c>
      <c r="T101" s="1" t="s">
        <v>27</v>
      </c>
      <c r="U101" s="1" t="s">
        <v>653</v>
      </c>
      <c r="V101" s="1">
        <v>2023</v>
      </c>
      <c r="W101" s="1" t="s">
        <v>994</v>
      </c>
      <c r="X101" s="1" t="s">
        <v>1002</v>
      </c>
      <c r="Y101" s="1" t="s">
        <v>310</v>
      </c>
    </row>
    <row r="102" spans="1:25" ht="15.75" x14ac:dyDescent="0.25">
      <c r="A102">
        <v>101</v>
      </c>
      <c r="B102" t="s">
        <v>1121</v>
      </c>
      <c r="C102" t="s">
        <v>43</v>
      </c>
      <c r="D102" s="1">
        <v>18</v>
      </c>
      <c r="E102" s="1" t="s">
        <v>996</v>
      </c>
      <c r="F102" s="1" t="s">
        <v>984</v>
      </c>
      <c r="G102" s="1">
        <v>2</v>
      </c>
      <c r="H102" s="1" t="s">
        <v>992</v>
      </c>
      <c r="I102" s="1" t="s">
        <v>1054</v>
      </c>
      <c r="J102" s="1" t="s">
        <v>1063</v>
      </c>
      <c r="K102" s="1">
        <v>1</v>
      </c>
      <c r="L102" s="1">
        <v>9.1999999999999993</v>
      </c>
      <c r="M102" s="1">
        <v>15.6</v>
      </c>
      <c r="N102" s="1">
        <v>15.6</v>
      </c>
      <c r="O102" s="1">
        <f t="shared" si="3"/>
        <v>13.466666666666667</v>
      </c>
      <c r="P102" s="1">
        <v>67</v>
      </c>
      <c r="Q102" s="1">
        <v>4</v>
      </c>
      <c r="R102" s="1" t="str">
        <f t="shared" si="4"/>
        <v>Aprovado</v>
      </c>
      <c r="S102" s="1" t="s">
        <v>66</v>
      </c>
      <c r="T102" s="1" t="s">
        <v>49</v>
      </c>
      <c r="U102" s="1" t="s">
        <v>647</v>
      </c>
      <c r="V102" s="1">
        <v>2022</v>
      </c>
      <c r="W102" s="1" t="s">
        <v>988</v>
      </c>
      <c r="X102" s="1" t="s">
        <v>1002</v>
      </c>
      <c r="Y102" s="1" t="s">
        <v>310</v>
      </c>
    </row>
    <row r="103" spans="1:25" ht="15.75" x14ac:dyDescent="0.25">
      <c r="A103">
        <v>102</v>
      </c>
      <c r="B103" t="s">
        <v>1122</v>
      </c>
      <c r="C103" t="s">
        <v>43</v>
      </c>
      <c r="D103" s="1">
        <v>28</v>
      </c>
      <c r="E103" s="1" t="s">
        <v>996</v>
      </c>
      <c r="F103" s="1" t="s">
        <v>984</v>
      </c>
      <c r="G103" s="1">
        <v>4</v>
      </c>
      <c r="H103" s="1" t="s">
        <v>1025</v>
      </c>
      <c r="I103" s="1" t="s">
        <v>1048</v>
      </c>
      <c r="J103" s="1" t="s">
        <v>1015</v>
      </c>
      <c r="K103" s="1">
        <v>1</v>
      </c>
      <c r="L103" s="1">
        <v>11.6</v>
      </c>
      <c r="M103" s="1">
        <v>14.2</v>
      </c>
      <c r="N103" s="1">
        <v>13</v>
      </c>
      <c r="O103" s="1">
        <f t="shared" si="3"/>
        <v>12.933333333333332</v>
      </c>
      <c r="P103" s="1">
        <v>76</v>
      </c>
      <c r="Q103" s="1">
        <v>4</v>
      </c>
      <c r="R103" s="1" t="str">
        <f t="shared" si="4"/>
        <v>Aprovado</v>
      </c>
      <c r="S103" s="1" t="s">
        <v>27</v>
      </c>
      <c r="T103" s="1" t="s">
        <v>49</v>
      </c>
      <c r="U103" s="1" t="s">
        <v>653</v>
      </c>
      <c r="V103" s="1">
        <v>2023</v>
      </c>
      <c r="W103" s="1" t="s">
        <v>994</v>
      </c>
      <c r="X103" s="1" t="s">
        <v>1002</v>
      </c>
      <c r="Y103" s="1" t="s">
        <v>310</v>
      </c>
    </row>
    <row r="104" spans="1:25" ht="15.75" x14ac:dyDescent="0.25">
      <c r="A104">
        <v>103</v>
      </c>
      <c r="B104" t="s">
        <v>1123</v>
      </c>
      <c r="C104" t="s">
        <v>30</v>
      </c>
      <c r="D104" s="1">
        <v>34</v>
      </c>
      <c r="E104" s="1" t="s">
        <v>983</v>
      </c>
      <c r="F104" s="1" t="s">
        <v>984</v>
      </c>
      <c r="G104" s="1">
        <v>1</v>
      </c>
      <c r="H104" s="1" t="s">
        <v>985</v>
      </c>
      <c r="I104" s="1" t="s">
        <v>1022</v>
      </c>
      <c r="J104" s="1" t="s">
        <v>998</v>
      </c>
      <c r="K104" s="1">
        <v>1</v>
      </c>
      <c r="L104" s="1">
        <v>15.6</v>
      </c>
      <c r="M104" s="1">
        <v>11.6</v>
      </c>
      <c r="N104" s="1">
        <v>19.600000000000001</v>
      </c>
      <c r="O104" s="1">
        <f t="shared" si="3"/>
        <v>15.6</v>
      </c>
      <c r="P104" s="1">
        <v>98</v>
      </c>
      <c r="Q104" s="1">
        <v>4</v>
      </c>
      <c r="R104" s="1" t="str">
        <f t="shared" si="4"/>
        <v>Aprovado</v>
      </c>
      <c r="S104" s="1" t="s">
        <v>49</v>
      </c>
      <c r="T104" s="1" t="s">
        <v>40</v>
      </c>
      <c r="U104" s="1" t="s">
        <v>653</v>
      </c>
      <c r="V104" s="1">
        <v>2024</v>
      </c>
      <c r="W104" s="1" t="s">
        <v>988</v>
      </c>
      <c r="X104" s="1" t="s">
        <v>989</v>
      </c>
      <c r="Y104" s="1" t="s">
        <v>310</v>
      </c>
    </row>
    <row r="105" spans="1:25" ht="15.75" x14ac:dyDescent="0.25">
      <c r="A105">
        <v>104</v>
      </c>
      <c r="B105" t="s">
        <v>1124</v>
      </c>
      <c r="C105" t="s">
        <v>43</v>
      </c>
      <c r="D105" s="1">
        <v>23</v>
      </c>
      <c r="E105" s="1" t="s">
        <v>983</v>
      </c>
      <c r="F105" s="1" t="s">
        <v>984</v>
      </c>
      <c r="G105" s="1">
        <v>3</v>
      </c>
      <c r="H105" s="1" t="s">
        <v>1025</v>
      </c>
      <c r="I105" s="1" t="s">
        <v>1048</v>
      </c>
      <c r="J105" s="1" t="s">
        <v>1034</v>
      </c>
      <c r="K105" s="1">
        <v>1</v>
      </c>
      <c r="L105" s="1">
        <v>10</v>
      </c>
      <c r="M105" s="1">
        <v>13.5</v>
      </c>
      <c r="N105" s="1">
        <v>14.2</v>
      </c>
      <c r="O105" s="1">
        <f t="shared" si="3"/>
        <v>12.566666666666668</v>
      </c>
      <c r="P105" s="1">
        <v>66</v>
      </c>
      <c r="Q105" s="1">
        <v>5</v>
      </c>
      <c r="R105" s="1" t="str">
        <f t="shared" si="4"/>
        <v>Aprovado</v>
      </c>
      <c r="S105" s="1" t="s">
        <v>49</v>
      </c>
      <c r="T105" s="1" t="s">
        <v>49</v>
      </c>
      <c r="U105" s="1" t="s">
        <v>653</v>
      </c>
      <c r="V105" s="1">
        <v>2025</v>
      </c>
      <c r="W105" s="1" t="s">
        <v>988</v>
      </c>
      <c r="X105" s="1" t="s">
        <v>1002</v>
      </c>
      <c r="Y105" s="1" t="s">
        <v>310</v>
      </c>
    </row>
    <row r="106" spans="1:25" ht="15.75" x14ac:dyDescent="0.25">
      <c r="A106">
        <v>105</v>
      </c>
      <c r="B106" t="s">
        <v>1125</v>
      </c>
      <c r="C106" t="s">
        <v>43</v>
      </c>
      <c r="D106" s="1">
        <v>29</v>
      </c>
      <c r="E106" s="1" t="s">
        <v>996</v>
      </c>
      <c r="F106" s="1" t="s">
        <v>984</v>
      </c>
      <c r="G106" s="1">
        <v>3</v>
      </c>
      <c r="H106" s="1" t="s">
        <v>1000</v>
      </c>
      <c r="I106" s="1" t="s">
        <v>1017</v>
      </c>
      <c r="J106" s="1" t="s">
        <v>1015</v>
      </c>
      <c r="K106" s="1">
        <v>2</v>
      </c>
      <c r="L106" s="1">
        <v>12.1</v>
      </c>
      <c r="M106" s="1">
        <v>17</v>
      </c>
      <c r="N106" s="1">
        <v>19.399999999999999</v>
      </c>
      <c r="O106" s="1">
        <f t="shared" si="3"/>
        <v>16.166666666666668</v>
      </c>
      <c r="P106" s="1">
        <v>97</v>
      </c>
      <c r="Q106" s="1">
        <v>6</v>
      </c>
      <c r="R106" s="1" t="str">
        <f t="shared" si="4"/>
        <v>Aprovado</v>
      </c>
      <c r="S106" s="1" t="s">
        <v>27</v>
      </c>
      <c r="T106" s="1" t="s">
        <v>27</v>
      </c>
      <c r="U106" s="1" t="s">
        <v>653</v>
      </c>
      <c r="V106" s="1">
        <v>2024</v>
      </c>
      <c r="W106" s="1" t="s">
        <v>988</v>
      </c>
      <c r="X106" s="1" t="s">
        <v>989</v>
      </c>
      <c r="Y106" s="1" t="s">
        <v>310</v>
      </c>
    </row>
    <row r="107" spans="1:25" ht="15.75" x14ac:dyDescent="0.25">
      <c r="A107">
        <v>106</v>
      </c>
      <c r="B107" t="s">
        <v>1126</v>
      </c>
      <c r="C107" t="s">
        <v>30</v>
      </c>
      <c r="D107" s="1">
        <v>21</v>
      </c>
      <c r="E107" s="1" t="s">
        <v>996</v>
      </c>
      <c r="F107" s="1" t="s">
        <v>984</v>
      </c>
      <c r="G107" s="1">
        <v>3</v>
      </c>
      <c r="H107" s="1" t="s">
        <v>1000</v>
      </c>
      <c r="I107" s="1" t="s">
        <v>1022</v>
      </c>
      <c r="J107" s="1" t="s">
        <v>1032</v>
      </c>
      <c r="K107" s="1">
        <v>2</v>
      </c>
      <c r="L107" s="1">
        <v>9.5</v>
      </c>
      <c r="M107" s="1">
        <v>16.899999999999999</v>
      </c>
      <c r="N107" s="1">
        <v>13.4</v>
      </c>
      <c r="O107" s="1">
        <f t="shared" si="3"/>
        <v>13.266666666666666</v>
      </c>
      <c r="P107" s="1">
        <v>85</v>
      </c>
      <c r="Q107" s="1">
        <v>4</v>
      </c>
      <c r="R107" s="1" t="str">
        <f t="shared" si="4"/>
        <v>Aprovado</v>
      </c>
      <c r="S107" s="1" t="s">
        <v>49</v>
      </c>
      <c r="T107" s="1" t="s">
        <v>27</v>
      </c>
      <c r="U107" s="1" t="s">
        <v>653</v>
      </c>
      <c r="V107" s="1">
        <v>2023</v>
      </c>
      <c r="W107" s="1" t="s">
        <v>988</v>
      </c>
      <c r="X107" s="1" t="s">
        <v>1002</v>
      </c>
      <c r="Y107" s="1" t="s">
        <v>310</v>
      </c>
    </row>
    <row r="108" spans="1:25" ht="15.75" x14ac:dyDescent="0.25">
      <c r="A108">
        <v>107</v>
      </c>
      <c r="B108" t="s">
        <v>1127</v>
      </c>
      <c r="C108" t="s">
        <v>30</v>
      </c>
      <c r="D108" s="1">
        <v>28</v>
      </c>
      <c r="E108" s="1" t="s">
        <v>991</v>
      </c>
      <c r="F108" s="1" t="s">
        <v>984</v>
      </c>
      <c r="G108" s="1">
        <v>3</v>
      </c>
      <c r="H108" s="1" t="s">
        <v>1025</v>
      </c>
      <c r="I108" s="1" t="s">
        <v>1017</v>
      </c>
      <c r="J108" s="1" t="s">
        <v>987</v>
      </c>
      <c r="K108" s="1">
        <v>2</v>
      </c>
      <c r="L108" s="1">
        <v>11.1</v>
      </c>
      <c r="M108" s="1">
        <v>14.7</v>
      </c>
      <c r="N108" s="1">
        <v>14.5</v>
      </c>
      <c r="O108" s="1">
        <f t="shared" si="3"/>
        <v>13.433333333333332</v>
      </c>
      <c r="P108" s="1">
        <v>85</v>
      </c>
      <c r="Q108" s="1">
        <v>6</v>
      </c>
      <c r="R108" s="1" t="str">
        <f t="shared" si="4"/>
        <v>Aprovado</v>
      </c>
      <c r="S108" s="1" t="s">
        <v>27</v>
      </c>
      <c r="T108" s="1" t="s">
        <v>40</v>
      </c>
      <c r="U108" s="1" t="s">
        <v>647</v>
      </c>
      <c r="V108" s="1">
        <v>2026</v>
      </c>
      <c r="W108" s="1" t="s">
        <v>994</v>
      </c>
      <c r="X108" s="1" t="s">
        <v>1002</v>
      </c>
      <c r="Y108" s="1" t="s">
        <v>310</v>
      </c>
    </row>
    <row r="109" spans="1:25" ht="15.75" x14ac:dyDescent="0.25">
      <c r="A109">
        <v>108</v>
      </c>
      <c r="B109" t="s">
        <v>1128</v>
      </c>
      <c r="C109" t="s">
        <v>43</v>
      </c>
      <c r="D109" s="1">
        <v>26</v>
      </c>
      <c r="E109" s="1" t="s">
        <v>983</v>
      </c>
      <c r="F109" s="1" t="s">
        <v>984</v>
      </c>
      <c r="G109" s="1">
        <v>1</v>
      </c>
      <c r="H109" s="1" t="s">
        <v>985</v>
      </c>
      <c r="I109" s="1" t="s">
        <v>1010</v>
      </c>
      <c r="J109" s="1" t="s">
        <v>1032</v>
      </c>
      <c r="K109" s="1">
        <v>1</v>
      </c>
      <c r="L109" s="1">
        <v>14.7</v>
      </c>
      <c r="M109" s="1">
        <v>13.3</v>
      </c>
      <c r="N109" s="1">
        <v>9.8000000000000007</v>
      </c>
      <c r="O109" s="1">
        <f t="shared" si="3"/>
        <v>12.6</v>
      </c>
      <c r="P109" s="1">
        <v>89</v>
      </c>
      <c r="Q109" s="1">
        <v>8</v>
      </c>
      <c r="R109" s="1" t="str">
        <f t="shared" si="4"/>
        <v>Aprovado</v>
      </c>
      <c r="S109" s="1" t="s">
        <v>27</v>
      </c>
      <c r="T109" s="1" t="s">
        <v>27</v>
      </c>
      <c r="U109" s="1" t="s">
        <v>647</v>
      </c>
      <c r="V109" s="1">
        <v>2022</v>
      </c>
      <c r="W109" s="1" t="s">
        <v>988</v>
      </c>
      <c r="X109" s="1" t="s">
        <v>989</v>
      </c>
      <c r="Y109" s="1" t="s">
        <v>310</v>
      </c>
    </row>
    <row r="110" spans="1:25" ht="15.75" x14ac:dyDescent="0.25">
      <c r="A110">
        <v>109</v>
      </c>
      <c r="B110" t="s">
        <v>1129</v>
      </c>
      <c r="C110" t="s">
        <v>43</v>
      </c>
      <c r="D110" s="1">
        <v>28</v>
      </c>
      <c r="E110" s="1" t="s">
        <v>996</v>
      </c>
      <c r="F110" s="1" t="s">
        <v>984</v>
      </c>
      <c r="G110" s="1">
        <v>3</v>
      </c>
      <c r="H110" s="1" t="s">
        <v>1025</v>
      </c>
      <c r="I110" s="1" t="s">
        <v>1019</v>
      </c>
      <c r="J110" s="1" t="s">
        <v>1001</v>
      </c>
      <c r="K110" s="1">
        <v>1</v>
      </c>
      <c r="L110" s="1">
        <v>17.3</v>
      </c>
      <c r="M110" s="1">
        <v>13.6</v>
      </c>
      <c r="N110" s="1">
        <v>12</v>
      </c>
      <c r="O110" s="1">
        <f t="shared" si="3"/>
        <v>14.299999999999999</v>
      </c>
      <c r="P110" s="1">
        <v>78</v>
      </c>
      <c r="Q110" s="1">
        <v>5</v>
      </c>
      <c r="R110" s="1" t="str">
        <f t="shared" si="4"/>
        <v>Aprovado</v>
      </c>
      <c r="S110" s="1" t="s">
        <v>66</v>
      </c>
      <c r="T110" s="1" t="s">
        <v>40</v>
      </c>
      <c r="U110" s="1" t="s">
        <v>653</v>
      </c>
      <c r="V110" s="1">
        <v>2024</v>
      </c>
      <c r="W110" s="1" t="s">
        <v>988</v>
      </c>
      <c r="X110" s="1" t="s">
        <v>1002</v>
      </c>
      <c r="Y110" s="1" t="s">
        <v>310</v>
      </c>
    </row>
    <row r="111" spans="1:25" ht="15.75" x14ac:dyDescent="0.25">
      <c r="A111">
        <v>110</v>
      </c>
      <c r="B111" t="s">
        <v>1130</v>
      </c>
      <c r="C111" t="s">
        <v>30</v>
      </c>
      <c r="D111" s="1">
        <v>27</v>
      </c>
      <c r="E111" s="1" t="s">
        <v>983</v>
      </c>
      <c r="F111" s="1" t="s">
        <v>984</v>
      </c>
      <c r="G111" s="1">
        <v>1</v>
      </c>
      <c r="H111" s="1" t="s">
        <v>992</v>
      </c>
      <c r="I111" s="1" t="s">
        <v>1007</v>
      </c>
      <c r="J111" s="1" t="s">
        <v>1001</v>
      </c>
      <c r="K111" s="1">
        <v>2</v>
      </c>
      <c r="L111" s="1">
        <v>12.3</v>
      </c>
      <c r="M111" s="1">
        <v>10.6</v>
      </c>
      <c r="N111" s="1">
        <v>9.1</v>
      </c>
      <c r="O111" s="1">
        <f t="shared" si="3"/>
        <v>10.666666666666666</v>
      </c>
      <c r="P111" s="1">
        <v>73</v>
      </c>
      <c r="Q111" s="1">
        <v>4</v>
      </c>
      <c r="R111" s="1" t="str">
        <f t="shared" si="4"/>
        <v>Aprovado</v>
      </c>
      <c r="S111" s="1" t="s">
        <v>66</v>
      </c>
      <c r="T111" s="1" t="s">
        <v>27</v>
      </c>
      <c r="U111" s="1" t="s">
        <v>647</v>
      </c>
      <c r="V111" s="1">
        <v>2023</v>
      </c>
      <c r="W111" s="1" t="s">
        <v>988</v>
      </c>
      <c r="X111" s="1" t="s">
        <v>989</v>
      </c>
      <c r="Y111" s="1" t="s">
        <v>310</v>
      </c>
    </row>
    <row r="112" spans="1:25" ht="15.75" x14ac:dyDescent="0.25">
      <c r="A112">
        <v>111</v>
      </c>
      <c r="B112" t="s">
        <v>1131</v>
      </c>
      <c r="C112" t="s">
        <v>30</v>
      </c>
      <c r="D112" s="1">
        <v>24</v>
      </c>
      <c r="E112" s="1" t="s">
        <v>983</v>
      </c>
      <c r="F112" s="1" t="s">
        <v>984</v>
      </c>
      <c r="G112" s="1">
        <v>4</v>
      </c>
      <c r="H112" s="1" t="s">
        <v>1025</v>
      </c>
      <c r="I112" s="1" t="s">
        <v>1022</v>
      </c>
      <c r="J112" s="1" t="s">
        <v>1013</v>
      </c>
      <c r="K112" s="1">
        <v>1</v>
      </c>
      <c r="L112" s="1">
        <v>17.5</v>
      </c>
      <c r="M112" s="1">
        <v>16.5</v>
      </c>
      <c r="N112" s="1">
        <v>12.3</v>
      </c>
      <c r="O112" s="1">
        <f t="shared" si="3"/>
        <v>15.433333333333332</v>
      </c>
      <c r="P112" s="1">
        <v>66</v>
      </c>
      <c r="Q112" s="1">
        <v>5</v>
      </c>
      <c r="R112" s="1" t="str">
        <f t="shared" si="4"/>
        <v>Aprovado</v>
      </c>
      <c r="S112" s="1" t="s">
        <v>66</v>
      </c>
      <c r="T112" s="1" t="s">
        <v>40</v>
      </c>
      <c r="U112" s="1" t="s">
        <v>653</v>
      </c>
      <c r="V112" s="1">
        <v>2025</v>
      </c>
      <c r="W112" s="1" t="s">
        <v>988</v>
      </c>
      <c r="X112" s="1" t="s">
        <v>989</v>
      </c>
      <c r="Y112" s="1" t="s">
        <v>310</v>
      </c>
    </row>
    <row r="113" spans="1:25" ht="15.75" x14ac:dyDescent="0.25">
      <c r="A113">
        <v>112</v>
      </c>
      <c r="B113" t="s">
        <v>1132</v>
      </c>
      <c r="C113" t="s">
        <v>43</v>
      </c>
      <c r="D113" s="1">
        <v>25</v>
      </c>
      <c r="E113" s="1" t="s">
        <v>983</v>
      </c>
      <c r="F113" s="1" t="s">
        <v>984</v>
      </c>
      <c r="G113" s="1">
        <v>4</v>
      </c>
      <c r="H113" s="1" t="s">
        <v>985</v>
      </c>
      <c r="I113" s="1" t="s">
        <v>1010</v>
      </c>
      <c r="J113" s="1" t="s">
        <v>1020</v>
      </c>
      <c r="K113" s="1">
        <v>2</v>
      </c>
      <c r="L113" s="1">
        <v>8.5</v>
      </c>
      <c r="M113" s="1">
        <v>12.5</v>
      </c>
      <c r="N113" s="1">
        <v>11.4</v>
      </c>
      <c r="O113" s="1">
        <f t="shared" si="3"/>
        <v>10.799999999999999</v>
      </c>
      <c r="P113" s="1">
        <v>80</v>
      </c>
      <c r="Q113" s="1">
        <v>5</v>
      </c>
      <c r="R113" s="1" t="str">
        <f t="shared" si="4"/>
        <v>Aprovado</v>
      </c>
      <c r="S113" s="1" t="s">
        <v>66</v>
      </c>
      <c r="T113" s="1" t="s">
        <v>49</v>
      </c>
      <c r="U113" s="1" t="s">
        <v>653</v>
      </c>
      <c r="V113" s="1">
        <v>2023</v>
      </c>
      <c r="W113" s="1" t="s">
        <v>994</v>
      </c>
      <c r="X113" s="1" t="s">
        <v>1002</v>
      </c>
      <c r="Y113" s="1" t="s">
        <v>310</v>
      </c>
    </row>
    <row r="114" spans="1:25" ht="15.75" x14ac:dyDescent="0.25">
      <c r="A114">
        <v>113</v>
      </c>
      <c r="B114" t="s">
        <v>1133</v>
      </c>
      <c r="C114" t="s">
        <v>30</v>
      </c>
      <c r="D114" s="1">
        <v>28</v>
      </c>
      <c r="E114" s="1" t="s">
        <v>996</v>
      </c>
      <c r="F114" s="1" t="s">
        <v>984</v>
      </c>
      <c r="G114" s="1">
        <v>1</v>
      </c>
      <c r="H114" s="1" t="s">
        <v>1025</v>
      </c>
      <c r="I114" s="1" t="s">
        <v>1017</v>
      </c>
      <c r="J114" s="1" t="s">
        <v>1032</v>
      </c>
      <c r="K114" s="1">
        <v>2</v>
      </c>
      <c r="L114" s="1">
        <v>8</v>
      </c>
      <c r="M114" s="1">
        <v>14.2</v>
      </c>
      <c r="N114" s="1">
        <v>16.600000000000001</v>
      </c>
      <c r="O114" s="1">
        <f t="shared" si="3"/>
        <v>12.933333333333332</v>
      </c>
      <c r="P114" s="1">
        <v>79</v>
      </c>
      <c r="Q114" s="1">
        <v>5</v>
      </c>
      <c r="R114" s="1" t="str">
        <f t="shared" si="4"/>
        <v>Aprovado</v>
      </c>
      <c r="S114" s="1" t="s">
        <v>66</v>
      </c>
      <c r="T114" s="1" t="s">
        <v>49</v>
      </c>
      <c r="U114" s="1" t="s">
        <v>653</v>
      </c>
      <c r="V114" s="1">
        <v>2023</v>
      </c>
      <c r="W114" s="1" t="s">
        <v>994</v>
      </c>
      <c r="X114" s="1" t="s">
        <v>1002</v>
      </c>
      <c r="Y114" s="1" t="s">
        <v>310</v>
      </c>
    </row>
    <row r="115" spans="1:25" ht="15.75" x14ac:dyDescent="0.25">
      <c r="A115">
        <v>114</v>
      </c>
      <c r="B115" t="s">
        <v>1134</v>
      </c>
      <c r="C115" t="s">
        <v>30</v>
      </c>
      <c r="D115" s="1">
        <v>22</v>
      </c>
      <c r="E115" s="1" t="s">
        <v>983</v>
      </c>
      <c r="F115" s="1" t="s">
        <v>984</v>
      </c>
      <c r="G115" s="1">
        <v>4</v>
      </c>
      <c r="H115" s="1" t="s">
        <v>1025</v>
      </c>
      <c r="I115" s="1" t="s">
        <v>1017</v>
      </c>
      <c r="J115" s="1" t="s">
        <v>1034</v>
      </c>
      <c r="K115" s="1">
        <v>2</v>
      </c>
      <c r="L115" s="1">
        <v>16.5</v>
      </c>
      <c r="M115" s="1">
        <v>9</v>
      </c>
      <c r="N115" s="1">
        <v>11.1</v>
      </c>
      <c r="O115" s="1">
        <f t="shared" si="3"/>
        <v>12.200000000000001</v>
      </c>
      <c r="P115" s="1">
        <v>77</v>
      </c>
      <c r="Q115" s="1">
        <v>5</v>
      </c>
      <c r="R115" s="1" t="str">
        <f t="shared" si="4"/>
        <v>Aprovado</v>
      </c>
      <c r="S115" s="1" t="s">
        <v>66</v>
      </c>
      <c r="T115" s="1" t="s">
        <v>40</v>
      </c>
      <c r="U115" s="1" t="s">
        <v>653</v>
      </c>
      <c r="V115" s="1">
        <v>2024</v>
      </c>
      <c r="W115" s="1" t="s">
        <v>994</v>
      </c>
      <c r="X115" s="1" t="s">
        <v>1002</v>
      </c>
      <c r="Y115" s="1" t="s">
        <v>310</v>
      </c>
    </row>
    <row r="116" spans="1:25" ht="15.75" x14ac:dyDescent="0.25">
      <c r="A116">
        <v>115</v>
      </c>
      <c r="B116" t="s">
        <v>1135</v>
      </c>
      <c r="C116" t="s">
        <v>30</v>
      </c>
      <c r="D116" s="1">
        <v>25</v>
      </c>
      <c r="E116" s="1" t="s">
        <v>991</v>
      </c>
      <c r="F116" s="1" t="s">
        <v>984</v>
      </c>
      <c r="G116" s="1">
        <v>2</v>
      </c>
      <c r="H116" s="1" t="s">
        <v>1000</v>
      </c>
      <c r="I116" s="1" t="s">
        <v>1007</v>
      </c>
      <c r="J116" s="1" t="s">
        <v>1013</v>
      </c>
      <c r="K116" s="1">
        <v>2</v>
      </c>
      <c r="L116" s="1">
        <v>12.6</v>
      </c>
      <c r="M116" s="1">
        <v>16.899999999999999</v>
      </c>
      <c r="N116" s="1">
        <v>12.4</v>
      </c>
      <c r="O116" s="1">
        <f t="shared" si="3"/>
        <v>13.966666666666667</v>
      </c>
      <c r="P116" s="1">
        <v>70</v>
      </c>
      <c r="Q116" s="1">
        <v>5</v>
      </c>
      <c r="R116" s="1" t="str">
        <f t="shared" si="4"/>
        <v>Aprovado</v>
      </c>
      <c r="S116" s="1" t="s">
        <v>49</v>
      </c>
      <c r="T116" s="1" t="s">
        <v>40</v>
      </c>
      <c r="U116" s="1" t="s">
        <v>647</v>
      </c>
      <c r="V116" s="1">
        <v>2022</v>
      </c>
      <c r="W116" s="1" t="s">
        <v>988</v>
      </c>
      <c r="X116" s="1" t="s">
        <v>1002</v>
      </c>
      <c r="Y116" s="1" t="s">
        <v>310</v>
      </c>
    </row>
    <row r="117" spans="1:25" ht="15.75" x14ac:dyDescent="0.25">
      <c r="A117">
        <v>116</v>
      </c>
      <c r="B117" t="s">
        <v>1136</v>
      </c>
      <c r="C117" t="s">
        <v>43</v>
      </c>
      <c r="D117" s="1">
        <v>34</v>
      </c>
      <c r="E117" s="1" t="s">
        <v>991</v>
      </c>
      <c r="F117" s="1" t="s">
        <v>984</v>
      </c>
      <c r="G117" s="1">
        <v>2</v>
      </c>
      <c r="H117" s="1" t="s">
        <v>1000</v>
      </c>
      <c r="I117" s="1" t="s">
        <v>1007</v>
      </c>
      <c r="J117" s="1" t="s">
        <v>1043</v>
      </c>
      <c r="K117" s="1">
        <v>1</v>
      </c>
      <c r="L117" s="1">
        <v>13.7</v>
      </c>
      <c r="M117" s="1">
        <v>12.9</v>
      </c>
      <c r="N117" s="1">
        <v>8.5</v>
      </c>
      <c r="O117" s="1">
        <f t="shared" si="3"/>
        <v>11.700000000000001</v>
      </c>
      <c r="P117" s="1">
        <v>65</v>
      </c>
      <c r="Q117" s="1">
        <v>7</v>
      </c>
      <c r="R117" s="1" t="str">
        <f t="shared" si="4"/>
        <v>Aprovado</v>
      </c>
      <c r="S117" s="1" t="s">
        <v>27</v>
      </c>
      <c r="T117" s="1" t="s">
        <v>27</v>
      </c>
      <c r="U117" s="1" t="s">
        <v>653</v>
      </c>
      <c r="V117" s="1">
        <v>2026</v>
      </c>
      <c r="W117" s="1" t="s">
        <v>988</v>
      </c>
      <c r="X117" s="1" t="s">
        <v>1002</v>
      </c>
      <c r="Y117" s="1" t="s">
        <v>310</v>
      </c>
    </row>
    <row r="118" spans="1:25" ht="15.75" x14ac:dyDescent="0.25">
      <c r="A118">
        <v>117</v>
      </c>
      <c r="B118" t="s">
        <v>1137</v>
      </c>
      <c r="C118" t="s">
        <v>30</v>
      </c>
      <c r="D118" s="1">
        <v>27</v>
      </c>
      <c r="E118" s="1" t="s">
        <v>996</v>
      </c>
      <c r="F118" s="1" t="s">
        <v>984</v>
      </c>
      <c r="G118" s="1">
        <v>2</v>
      </c>
      <c r="H118" s="1" t="s">
        <v>1025</v>
      </c>
      <c r="I118" s="1" t="s">
        <v>1010</v>
      </c>
      <c r="J118" s="1" t="s">
        <v>1032</v>
      </c>
      <c r="K118" s="1">
        <v>2</v>
      </c>
      <c r="L118" s="1">
        <v>11.9</v>
      </c>
      <c r="M118" s="1">
        <v>13.8</v>
      </c>
      <c r="N118" s="1">
        <v>14</v>
      </c>
      <c r="O118" s="1">
        <f t="shared" si="3"/>
        <v>13.233333333333334</v>
      </c>
      <c r="P118" s="1">
        <v>77</v>
      </c>
      <c r="Q118" s="1">
        <v>4</v>
      </c>
      <c r="R118" s="1" t="str">
        <f t="shared" si="4"/>
        <v>Aprovado</v>
      </c>
      <c r="S118" s="1" t="s">
        <v>27</v>
      </c>
      <c r="T118" s="1" t="s">
        <v>40</v>
      </c>
      <c r="U118" s="1" t="s">
        <v>653</v>
      </c>
      <c r="V118" s="1">
        <v>2024</v>
      </c>
      <c r="W118" s="1" t="s">
        <v>988</v>
      </c>
      <c r="X118" s="1" t="s">
        <v>989</v>
      </c>
      <c r="Y118" s="1" t="s">
        <v>310</v>
      </c>
    </row>
    <row r="119" spans="1:25" ht="15.75" x14ac:dyDescent="0.25">
      <c r="A119">
        <v>118</v>
      </c>
      <c r="B119" t="s">
        <v>1138</v>
      </c>
      <c r="C119" t="s">
        <v>30</v>
      </c>
      <c r="D119" s="1">
        <v>29</v>
      </c>
      <c r="E119" s="1" t="s">
        <v>983</v>
      </c>
      <c r="F119" s="1" t="s">
        <v>984</v>
      </c>
      <c r="G119" s="1">
        <v>2</v>
      </c>
      <c r="H119" s="1" t="s">
        <v>1025</v>
      </c>
      <c r="I119" s="1" t="s">
        <v>997</v>
      </c>
      <c r="J119" s="1" t="s">
        <v>998</v>
      </c>
      <c r="K119" s="1">
        <v>2</v>
      </c>
      <c r="L119" s="1">
        <v>8.5</v>
      </c>
      <c r="M119" s="1">
        <v>11.8</v>
      </c>
      <c r="N119" s="1">
        <v>8.4</v>
      </c>
      <c r="O119" s="1">
        <f t="shared" si="3"/>
        <v>9.5666666666666682</v>
      </c>
      <c r="P119" s="1">
        <v>70</v>
      </c>
      <c r="Q119" s="1">
        <v>5</v>
      </c>
      <c r="R119" s="1" t="str">
        <f t="shared" si="4"/>
        <v>Reprovado</v>
      </c>
      <c r="S119" s="1" t="s">
        <v>49</v>
      </c>
      <c r="T119" s="1" t="s">
        <v>40</v>
      </c>
      <c r="U119" s="1" t="s">
        <v>647</v>
      </c>
      <c r="V119" s="1">
        <v>2022</v>
      </c>
      <c r="W119" s="1" t="s">
        <v>988</v>
      </c>
      <c r="X119" s="1" t="s">
        <v>1002</v>
      </c>
      <c r="Y119" s="1" t="s">
        <v>310</v>
      </c>
    </row>
    <row r="120" spans="1:25" ht="15.75" x14ac:dyDescent="0.25">
      <c r="A120">
        <v>119</v>
      </c>
      <c r="B120" t="s">
        <v>1139</v>
      </c>
      <c r="C120" t="s">
        <v>43</v>
      </c>
      <c r="D120" s="1">
        <v>26</v>
      </c>
      <c r="E120" s="1" t="s">
        <v>991</v>
      </c>
      <c r="F120" s="1" t="s">
        <v>984</v>
      </c>
      <c r="G120" s="1">
        <v>3</v>
      </c>
      <c r="H120" s="1" t="s">
        <v>985</v>
      </c>
      <c r="I120" s="1" t="s">
        <v>986</v>
      </c>
      <c r="J120" s="1" t="s">
        <v>998</v>
      </c>
      <c r="K120" s="1">
        <v>2</v>
      </c>
      <c r="L120" s="1">
        <v>13.9</v>
      </c>
      <c r="M120" s="1">
        <v>12.3</v>
      </c>
      <c r="N120" s="1">
        <v>13.3</v>
      </c>
      <c r="O120" s="1">
        <f t="shared" si="3"/>
        <v>13.166666666666666</v>
      </c>
      <c r="P120" s="1">
        <v>98</v>
      </c>
      <c r="Q120" s="1">
        <v>4</v>
      </c>
      <c r="R120" s="1" t="str">
        <f t="shared" si="4"/>
        <v>Aprovado</v>
      </c>
      <c r="S120" s="1" t="s">
        <v>49</v>
      </c>
      <c r="T120" s="1" t="s">
        <v>40</v>
      </c>
      <c r="U120" s="1" t="s">
        <v>653</v>
      </c>
      <c r="V120" s="1">
        <v>2023</v>
      </c>
      <c r="W120" s="1" t="s">
        <v>994</v>
      </c>
      <c r="X120" s="1" t="s">
        <v>1002</v>
      </c>
      <c r="Y120" s="1" t="s">
        <v>310</v>
      </c>
    </row>
    <row r="121" spans="1:25" ht="15.75" x14ac:dyDescent="0.25">
      <c r="A121">
        <v>120</v>
      </c>
      <c r="B121" t="s">
        <v>1140</v>
      </c>
      <c r="C121" t="s">
        <v>43</v>
      </c>
      <c r="D121" s="1">
        <v>24</v>
      </c>
      <c r="E121" s="1" t="s">
        <v>983</v>
      </c>
      <c r="F121" s="1" t="s">
        <v>984</v>
      </c>
      <c r="G121" s="1">
        <v>4</v>
      </c>
      <c r="H121" s="1" t="s">
        <v>985</v>
      </c>
      <c r="I121" s="1" t="s">
        <v>1048</v>
      </c>
      <c r="J121" s="1" t="s">
        <v>1015</v>
      </c>
      <c r="K121" s="1">
        <v>2</v>
      </c>
      <c r="L121" s="1">
        <v>17.899999999999999</v>
      </c>
      <c r="M121" s="1">
        <v>11.9</v>
      </c>
      <c r="N121" s="1">
        <v>10.3</v>
      </c>
      <c r="O121" s="1">
        <f t="shared" si="3"/>
        <v>13.366666666666665</v>
      </c>
      <c r="P121" s="1">
        <v>76</v>
      </c>
      <c r="Q121" s="1">
        <v>8</v>
      </c>
      <c r="R121" s="1" t="str">
        <f t="shared" si="4"/>
        <v>Aprovado</v>
      </c>
      <c r="S121" s="1" t="s">
        <v>49</v>
      </c>
      <c r="T121" s="1" t="s">
        <v>40</v>
      </c>
      <c r="U121" s="1" t="s">
        <v>653</v>
      </c>
      <c r="V121" s="1">
        <v>2026</v>
      </c>
      <c r="W121" s="1" t="s">
        <v>994</v>
      </c>
      <c r="X121" s="1" t="s">
        <v>1002</v>
      </c>
      <c r="Y121" s="1" t="s">
        <v>310</v>
      </c>
    </row>
    <row r="122" spans="1:25" ht="15.75" x14ac:dyDescent="0.25">
      <c r="A122">
        <v>121</v>
      </c>
      <c r="B122" t="s">
        <v>1141</v>
      </c>
      <c r="C122" t="s">
        <v>30</v>
      </c>
      <c r="D122" s="1">
        <v>34</v>
      </c>
      <c r="E122" s="1" t="s">
        <v>996</v>
      </c>
      <c r="F122" s="1" t="s">
        <v>984</v>
      </c>
      <c r="G122" s="1">
        <v>3</v>
      </c>
      <c r="H122" s="1" t="s">
        <v>985</v>
      </c>
      <c r="I122" s="1" t="s">
        <v>1041</v>
      </c>
      <c r="J122" s="1" t="s">
        <v>1032</v>
      </c>
      <c r="K122" s="1">
        <v>2</v>
      </c>
      <c r="L122" s="1">
        <v>13.5</v>
      </c>
      <c r="M122" s="1">
        <v>15.1</v>
      </c>
      <c r="N122" s="1">
        <v>14.5</v>
      </c>
      <c r="O122" s="1">
        <f t="shared" si="3"/>
        <v>14.366666666666667</v>
      </c>
      <c r="P122" s="1">
        <v>66</v>
      </c>
      <c r="Q122" s="1">
        <v>4</v>
      </c>
      <c r="R122" s="1" t="str">
        <f t="shared" si="4"/>
        <v>Aprovado</v>
      </c>
      <c r="S122" s="1" t="s">
        <v>49</v>
      </c>
      <c r="T122" s="1" t="s">
        <v>27</v>
      </c>
      <c r="U122" s="1" t="s">
        <v>653</v>
      </c>
      <c r="V122" s="1">
        <v>2025</v>
      </c>
      <c r="W122" s="1" t="s">
        <v>988</v>
      </c>
      <c r="X122" s="1" t="s">
        <v>1002</v>
      </c>
      <c r="Y122" s="1" t="s">
        <v>310</v>
      </c>
    </row>
    <row r="123" spans="1:25" ht="15.75" x14ac:dyDescent="0.25">
      <c r="A123">
        <v>122</v>
      </c>
      <c r="B123" t="s">
        <v>1142</v>
      </c>
      <c r="C123" t="s">
        <v>43</v>
      </c>
      <c r="D123" s="1">
        <v>19</v>
      </c>
      <c r="E123" s="1" t="s">
        <v>991</v>
      </c>
      <c r="F123" s="1" t="s">
        <v>984</v>
      </c>
      <c r="G123" s="1">
        <v>1</v>
      </c>
      <c r="H123" s="1" t="s">
        <v>992</v>
      </c>
      <c r="I123" s="1" t="s">
        <v>1019</v>
      </c>
      <c r="J123" s="1" t="s">
        <v>1020</v>
      </c>
      <c r="K123" s="1">
        <v>2</v>
      </c>
      <c r="L123" s="1">
        <v>9.8000000000000007</v>
      </c>
      <c r="M123" s="1">
        <v>9.4</v>
      </c>
      <c r="N123" s="1">
        <v>19.3</v>
      </c>
      <c r="O123" s="1">
        <f t="shared" si="3"/>
        <v>12.833333333333334</v>
      </c>
      <c r="P123" s="1">
        <v>90</v>
      </c>
      <c r="Q123" s="1">
        <v>4</v>
      </c>
      <c r="R123" s="1" t="str">
        <f t="shared" si="4"/>
        <v>Aprovado</v>
      </c>
      <c r="S123" s="1" t="s">
        <v>27</v>
      </c>
      <c r="T123" s="1" t="s">
        <v>27</v>
      </c>
      <c r="U123" s="1" t="s">
        <v>647</v>
      </c>
      <c r="V123" s="1">
        <v>2023</v>
      </c>
      <c r="W123" s="1" t="s">
        <v>994</v>
      </c>
      <c r="X123" s="1" t="s">
        <v>989</v>
      </c>
      <c r="Y123" s="1" t="s">
        <v>310</v>
      </c>
    </row>
    <row r="124" spans="1:25" ht="15.75" x14ac:dyDescent="0.25">
      <c r="A124">
        <v>123</v>
      </c>
      <c r="B124" t="s">
        <v>1143</v>
      </c>
      <c r="C124" t="s">
        <v>30</v>
      </c>
      <c r="D124" s="1">
        <v>21</v>
      </c>
      <c r="E124" s="1" t="s">
        <v>996</v>
      </c>
      <c r="F124" s="1" t="s">
        <v>984</v>
      </c>
      <c r="G124" s="1">
        <v>4</v>
      </c>
      <c r="H124" s="1" t="s">
        <v>992</v>
      </c>
      <c r="I124" s="1" t="s">
        <v>1048</v>
      </c>
      <c r="J124" s="1" t="s">
        <v>1034</v>
      </c>
      <c r="K124" s="1">
        <v>1</v>
      </c>
      <c r="L124" s="1">
        <v>15.9</v>
      </c>
      <c r="M124" s="1">
        <v>8.9</v>
      </c>
      <c r="N124" s="1">
        <v>10.3</v>
      </c>
      <c r="O124" s="1">
        <f t="shared" si="3"/>
        <v>11.700000000000001</v>
      </c>
      <c r="P124" s="1">
        <v>74</v>
      </c>
      <c r="Q124" s="1">
        <v>4</v>
      </c>
      <c r="R124" s="1" t="str">
        <f t="shared" si="4"/>
        <v>Aprovado</v>
      </c>
      <c r="S124" s="1" t="s">
        <v>49</v>
      </c>
      <c r="T124" s="1" t="s">
        <v>49</v>
      </c>
      <c r="U124" s="1" t="s">
        <v>653</v>
      </c>
      <c r="V124" s="1">
        <v>2025</v>
      </c>
      <c r="W124" s="1" t="s">
        <v>994</v>
      </c>
      <c r="X124" s="1" t="s">
        <v>989</v>
      </c>
      <c r="Y124" s="1" t="s">
        <v>310</v>
      </c>
    </row>
    <row r="125" spans="1:25" ht="15.75" x14ac:dyDescent="0.25">
      <c r="A125">
        <v>124</v>
      </c>
      <c r="B125" t="s">
        <v>1144</v>
      </c>
      <c r="C125" t="s">
        <v>43</v>
      </c>
      <c r="D125" s="1">
        <v>23</v>
      </c>
      <c r="E125" s="1" t="s">
        <v>991</v>
      </c>
      <c r="F125" s="1" t="s">
        <v>984</v>
      </c>
      <c r="G125" s="1">
        <v>4</v>
      </c>
      <c r="H125" s="1" t="s">
        <v>1025</v>
      </c>
      <c r="I125" s="1" t="s">
        <v>1007</v>
      </c>
      <c r="J125" s="1" t="s">
        <v>1013</v>
      </c>
      <c r="K125" s="1">
        <v>2</v>
      </c>
      <c r="L125" s="1">
        <v>13.4</v>
      </c>
      <c r="M125" s="1">
        <v>15</v>
      </c>
      <c r="N125" s="1">
        <v>16.3</v>
      </c>
      <c r="O125" s="1">
        <f t="shared" si="3"/>
        <v>14.9</v>
      </c>
      <c r="P125" s="1">
        <v>62</v>
      </c>
      <c r="Q125" s="1">
        <v>8</v>
      </c>
      <c r="R125" s="1" t="str">
        <f t="shared" si="4"/>
        <v>Aprovado</v>
      </c>
      <c r="S125" s="1" t="s">
        <v>66</v>
      </c>
      <c r="T125" s="1" t="s">
        <v>40</v>
      </c>
      <c r="U125" s="1" t="s">
        <v>653</v>
      </c>
      <c r="V125" s="1">
        <v>2022</v>
      </c>
      <c r="W125" s="1" t="s">
        <v>988</v>
      </c>
      <c r="X125" s="1" t="s">
        <v>1002</v>
      </c>
      <c r="Y125" s="1" t="s">
        <v>310</v>
      </c>
    </row>
    <row r="126" spans="1:25" ht="15.75" x14ac:dyDescent="0.25">
      <c r="A126">
        <v>125</v>
      </c>
      <c r="B126" t="s">
        <v>1145</v>
      </c>
      <c r="C126" t="s">
        <v>30</v>
      </c>
      <c r="D126" s="1">
        <v>35</v>
      </c>
      <c r="E126" s="1" t="s">
        <v>996</v>
      </c>
      <c r="F126" s="1" t="s">
        <v>984</v>
      </c>
      <c r="G126" s="1">
        <v>2</v>
      </c>
      <c r="H126" s="1" t="s">
        <v>985</v>
      </c>
      <c r="I126" s="1" t="s">
        <v>1004</v>
      </c>
      <c r="J126" s="1" t="s">
        <v>1008</v>
      </c>
      <c r="K126" s="1">
        <v>2</v>
      </c>
      <c r="L126" s="1">
        <v>9.5</v>
      </c>
      <c r="M126" s="1">
        <v>8.4</v>
      </c>
      <c r="N126" s="1">
        <v>16.600000000000001</v>
      </c>
      <c r="O126" s="1">
        <f t="shared" si="3"/>
        <v>11.5</v>
      </c>
      <c r="P126" s="1">
        <v>79</v>
      </c>
      <c r="Q126" s="1">
        <v>5</v>
      </c>
      <c r="R126" s="1" t="str">
        <f t="shared" si="4"/>
        <v>Aprovado</v>
      </c>
      <c r="S126" s="1" t="s">
        <v>66</v>
      </c>
      <c r="T126" s="1" t="s">
        <v>49</v>
      </c>
      <c r="U126" s="1" t="s">
        <v>647</v>
      </c>
      <c r="V126" s="1">
        <v>2024</v>
      </c>
      <c r="W126" s="1" t="s">
        <v>988</v>
      </c>
      <c r="X126" s="1" t="s">
        <v>1002</v>
      </c>
      <c r="Y126" s="1" t="s">
        <v>310</v>
      </c>
    </row>
    <row r="127" spans="1:25" ht="15.75" x14ac:dyDescent="0.25">
      <c r="A127">
        <v>126</v>
      </c>
      <c r="B127" t="s">
        <v>1146</v>
      </c>
      <c r="C127" t="s">
        <v>30</v>
      </c>
      <c r="D127" s="1">
        <v>32</v>
      </c>
      <c r="E127" s="1" t="s">
        <v>996</v>
      </c>
      <c r="F127" s="1" t="s">
        <v>984</v>
      </c>
      <c r="G127" s="1">
        <v>2</v>
      </c>
      <c r="H127" s="1" t="s">
        <v>1025</v>
      </c>
      <c r="I127" s="1" t="s">
        <v>1004</v>
      </c>
      <c r="J127" s="1" t="s">
        <v>987</v>
      </c>
      <c r="K127" s="1">
        <v>2</v>
      </c>
      <c r="L127" s="1">
        <v>16.899999999999999</v>
      </c>
      <c r="M127" s="1">
        <v>11.9</v>
      </c>
      <c r="N127" s="1">
        <v>13.3</v>
      </c>
      <c r="O127" s="1">
        <f t="shared" si="3"/>
        <v>14.033333333333331</v>
      </c>
      <c r="P127" s="1">
        <v>90</v>
      </c>
      <c r="Q127" s="1">
        <v>5</v>
      </c>
      <c r="R127" s="1" t="str">
        <f t="shared" si="4"/>
        <v>Aprovado</v>
      </c>
      <c r="S127" s="1" t="s">
        <v>66</v>
      </c>
      <c r="T127" s="1" t="s">
        <v>40</v>
      </c>
      <c r="U127" s="1" t="s">
        <v>647</v>
      </c>
      <c r="V127" s="1">
        <v>2025</v>
      </c>
      <c r="W127" s="1" t="s">
        <v>994</v>
      </c>
      <c r="X127" s="1" t="s">
        <v>989</v>
      </c>
      <c r="Y127" s="1" t="s">
        <v>310</v>
      </c>
    </row>
    <row r="128" spans="1:25" ht="15.75" x14ac:dyDescent="0.25">
      <c r="A128">
        <v>127</v>
      </c>
      <c r="B128" t="s">
        <v>1147</v>
      </c>
      <c r="C128" t="s">
        <v>30</v>
      </c>
      <c r="D128" s="1">
        <v>18</v>
      </c>
      <c r="E128" s="1" t="s">
        <v>983</v>
      </c>
      <c r="F128" s="1" t="s">
        <v>984</v>
      </c>
      <c r="G128" s="1">
        <v>1</v>
      </c>
      <c r="H128" s="1" t="s">
        <v>1025</v>
      </c>
      <c r="I128" s="1" t="s">
        <v>1004</v>
      </c>
      <c r="J128" s="1" t="s">
        <v>1020</v>
      </c>
      <c r="K128" s="1">
        <v>1</v>
      </c>
      <c r="L128" s="1">
        <v>8.6</v>
      </c>
      <c r="M128" s="1">
        <v>12.9</v>
      </c>
      <c r="N128" s="1">
        <v>18.3</v>
      </c>
      <c r="O128" s="1">
        <f t="shared" si="3"/>
        <v>13.266666666666666</v>
      </c>
      <c r="P128" s="1">
        <v>90</v>
      </c>
      <c r="Q128" s="1">
        <v>4</v>
      </c>
      <c r="R128" s="1" t="str">
        <f t="shared" si="4"/>
        <v>Aprovado</v>
      </c>
      <c r="S128" s="1" t="s">
        <v>27</v>
      </c>
      <c r="T128" s="1" t="s">
        <v>49</v>
      </c>
      <c r="U128" s="1" t="s">
        <v>653</v>
      </c>
      <c r="V128" s="1">
        <v>2022</v>
      </c>
      <c r="W128" s="1" t="s">
        <v>994</v>
      </c>
      <c r="X128" s="1" t="s">
        <v>1002</v>
      </c>
      <c r="Y128" s="1" t="s">
        <v>310</v>
      </c>
    </row>
    <row r="129" spans="1:25" ht="15.75" x14ac:dyDescent="0.25">
      <c r="A129">
        <v>128</v>
      </c>
      <c r="B129" t="s">
        <v>1148</v>
      </c>
      <c r="C129" t="s">
        <v>30</v>
      </c>
      <c r="D129" s="1">
        <v>24</v>
      </c>
      <c r="E129" s="1" t="s">
        <v>996</v>
      </c>
      <c r="F129" s="1" t="s">
        <v>984</v>
      </c>
      <c r="G129" s="1">
        <v>4</v>
      </c>
      <c r="H129" s="1" t="s">
        <v>992</v>
      </c>
      <c r="I129" s="1" t="s">
        <v>1019</v>
      </c>
      <c r="J129" s="1" t="s">
        <v>1032</v>
      </c>
      <c r="K129" s="1">
        <v>1</v>
      </c>
      <c r="L129" s="1">
        <v>10.4</v>
      </c>
      <c r="M129" s="1">
        <v>8.4</v>
      </c>
      <c r="N129" s="1">
        <v>10.6</v>
      </c>
      <c r="O129" s="1">
        <f t="shared" si="3"/>
        <v>9.7999999999999989</v>
      </c>
      <c r="P129" s="1">
        <v>88</v>
      </c>
      <c r="Q129" s="1">
        <v>4</v>
      </c>
      <c r="R129" s="1" t="str">
        <f t="shared" si="4"/>
        <v>Reprovado</v>
      </c>
      <c r="S129" s="1" t="s">
        <v>66</v>
      </c>
      <c r="T129" s="1" t="s">
        <v>49</v>
      </c>
      <c r="U129" s="1" t="s">
        <v>647</v>
      </c>
      <c r="V129" s="1">
        <v>2023</v>
      </c>
      <c r="W129" s="1" t="s">
        <v>994</v>
      </c>
      <c r="X129" s="1" t="s">
        <v>989</v>
      </c>
      <c r="Y129" s="1" t="s">
        <v>310</v>
      </c>
    </row>
    <row r="130" spans="1:25" ht="15.75" x14ac:dyDescent="0.25">
      <c r="A130">
        <v>129</v>
      </c>
      <c r="B130" t="s">
        <v>1149</v>
      </c>
      <c r="C130" t="s">
        <v>43</v>
      </c>
      <c r="D130" s="1">
        <v>22</v>
      </c>
      <c r="E130" s="1" t="s">
        <v>996</v>
      </c>
      <c r="F130" s="1" t="s">
        <v>984</v>
      </c>
      <c r="G130" s="1">
        <v>4</v>
      </c>
      <c r="H130" s="1" t="s">
        <v>992</v>
      </c>
      <c r="I130" s="1" t="s">
        <v>1017</v>
      </c>
      <c r="J130" s="1" t="s">
        <v>987</v>
      </c>
      <c r="K130" s="1">
        <v>2</v>
      </c>
      <c r="L130" s="1">
        <v>17.100000000000001</v>
      </c>
      <c r="M130" s="1">
        <v>17.2</v>
      </c>
      <c r="N130" s="1">
        <v>17.3</v>
      </c>
      <c r="O130" s="1">
        <f t="shared" si="3"/>
        <v>17.2</v>
      </c>
      <c r="P130" s="1">
        <v>60</v>
      </c>
      <c r="Q130" s="1">
        <v>7</v>
      </c>
      <c r="R130" s="1" t="str">
        <f t="shared" si="4"/>
        <v>Aprovado</v>
      </c>
      <c r="S130" s="1" t="s">
        <v>27</v>
      </c>
      <c r="T130" s="1" t="s">
        <v>49</v>
      </c>
      <c r="U130" s="1" t="s">
        <v>653</v>
      </c>
      <c r="V130" s="1">
        <v>2025</v>
      </c>
      <c r="W130" s="1" t="s">
        <v>988</v>
      </c>
      <c r="X130" s="1" t="s">
        <v>989</v>
      </c>
      <c r="Y130" s="1" t="s">
        <v>310</v>
      </c>
    </row>
    <row r="131" spans="1:25" ht="15.75" x14ac:dyDescent="0.25">
      <c r="A131">
        <v>130</v>
      </c>
      <c r="B131" t="s">
        <v>1150</v>
      </c>
      <c r="C131" t="s">
        <v>43</v>
      </c>
      <c r="D131" s="1">
        <v>25</v>
      </c>
      <c r="E131" s="1" t="s">
        <v>983</v>
      </c>
      <c r="F131" s="1" t="s">
        <v>984</v>
      </c>
      <c r="G131" s="1">
        <v>4</v>
      </c>
      <c r="H131" s="1" t="s">
        <v>992</v>
      </c>
      <c r="I131" s="1" t="s">
        <v>1010</v>
      </c>
      <c r="J131" s="1" t="s">
        <v>987</v>
      </c>
      <c r="K131" s="1">
        <v>2</v>
      </c>
      <c r="L131" s="1">
        <v>9.6999999999999993</v>
      </c>
      <c r="M131" s="1">
        <v>16.399999999999999</v>
      </c>
      <c r="N131" s="1">
        <v>14.8</v>
      </c>
      <c r="O131" s="1">
        <f t="shared" ref="O131:O151" si="5">(L131+M131+N131)/3</f>
        <v>13.633333333333333</v>
      </c>
      <c r="P131" s="1">
        <v>63</v>
      </c>
      <c r="Q131" s="1">
        <v>6</v>
      </c>
      <c r="R131" s="1" t="str">
        <f t="shared" ref="R131:R151" si="6">IF(O131&gt;=10,"Aprovado","Reprovado")</f>
        <v>Aprovado</v>
      </c>
      <c r="S131" s="1" t="s">
        <v>27</v>
      </c>
      <c r="T131" s="1" t="s">
        <v>40</v>
      </c>
      <c r="U131" s="1" t="s">
        <v>647</v>
      </c>
      <c r="V131" s="1">
        <v>2026</v>
      </c>
      <c r="W131" s="1" t="s">
        <v>994</v>
      </c>
      <c r="X131" s="1" t="s">
        <v>1002</v>
      </c>
      <c r="Y131" s="1" t="s">
        <v>310</v>
      </c>
    </row>
    <row r="132" spans="1:25" ht="15.75" x14ac:dyDescent="0.25">
      <c r="A132">
        <v>131</v>
      </c>
      <c r="B132" t="s">
        <v>1151</v>
      </c>
      <c r="C132" t="s">
        <v>43</v>
      </c>
      <c r="D132" s="1">
        <v>19</v>
      </c>
      <c r="E132" s="1" t="s">
        <v>983</v>
      </c>
      <c r="F132" s="1" t="s">
        <v>984</v>
      </c>
      <c r="G132" s="1">
        <v>4</v>
      </c>
      <c r="H132" s="1" t="s">
        <v>985</v>
      </c>
      <c r="I132" s="1" t="s">
        <v>1019</v>
      </c>
      <c r="J132" s="1" t="s">
        <v>993</v>
      </c>
      <c r="K132" s="1">
        <v>2</v>
      </c>
      <c r="L132" s="1">
        <v>13.8</v>
      </c>
      <c r="M132" s="1">
        <v>11.5</v>
      </c>
      <c r="N132" s="1">
        <v>12.8</v>
      </c>
      <c r="O132" s="1">
        <f t="shared" si="5"/>
        <v>12.700000000000001</v>
      </c>
      <c r="P132" s="1">
        <v>66</v>
      </c>
      <c r="Q132" s="1">
        <v>4</v>
      </c>
      <c r="R132" s="1" t="str">
        <f t="shared" si="6"/>
        <v>Aprovado</v>
      </c>
      <c r="S132" s="1" t="s">
        <v>27</v>
      </c>
      <c r="T132" s="1" t="s">
        <v>27</v>
      </c>
      <c r="U132" s="1" t="s">
        <v>653</v>
      </c>
      <c r="V132" s="1">
        <v>2022</v>
      </c>
      <c r="W132" s="1" t="s">
        <v>988</v>
      </c>
      <c r="X132" s="1" t="s">
        <v>1002</v>
      </c>
      <c r="Y132" s="1" t="s">
        <v>310</v>
      </c>
    </row>
    <row r="133" spans="1:25" ht="15.75" x14ac:dyDescent="0.25">
      <c r="A133">
        <v>132</v>
      </c>
      <c r="B133" t="s">
        <v>1152</v>
      </c>
      <c r="C133" t="s">
        <v>30</v>
      </c>
      <c r="D133" s="1">
        <v>29</v>
      </c>
      <c r="E133" s="1" t="s">
        <v>991</v>
      </c>
      <c r="F133" s="1" t="s">
        <v>984</v>
      </c>
      <c r="G133" s="1">
        <v>4</v>
      </c>
      <c r="H133" s="1" t="s">
        <v>1025</v>
      </c>
      <c r="I133" s="1" t="s">
        <v>986</v>
      </c>
      <c r="J133" s="1" t="s">
        <v>1049</v>
      </c>
      <c r="K133" s="1">
        <v>1</v>
      </c>
      <c r="L133" s="1">
        <v>15.3</v>
      </c>
      <c r="M133" s="1">
        <v>17.100000000000001</v>
      </c>
      <c r="N133" s="1">
        <v>12.9</v>
      </c>
      <c r="O133" s="1">
        <f t="shared" si="5"/>
        <v>15.100000000000001</v>
      </c>
      <c r="P133" s="1">
        <v>97</v>
      </c>
      <c r="Q133" s="1">
        <v>8</v>
      </c>
      <c r="R133" s="1" t="str">
        <f t="shared" si="6"/>
        <v>Aprovado</v>
      </c>
      <c r="S133" s="1" t="s">
        <v>27</v>
      </c>
      <c r="T133" s="1" t="s">
        <v>40</v>
      </c>
      <c r="U133" s="1" t="s">
        <v>647</v>
      </c>
      <c r="V133" s="1">
        <v>2024</v>
      </c>
      <c r="W133" s="1" t="s">
        <v>988</v>
      </c>
      <c r="X133" s="1" t="s">
        <v>989</v>
      </c>
      <c r="Y133" s="1" t="s">
        <v>310</v>
      </c>
    </row>
    <row r="134" spans="1:25" ht="15.75" x14ac:dyDescent="0.25">
      <c r="A134">
        <v>133</v>
      </c>
      <c r="B134" t="s">
        <v>1153</v>
      </c>
      <c r="C134" t="s">
        <v>43</v>
      </c>
      <c r="D134" s="1">
        <v>24</v>
      </c>
      <c r="E134" s="1" t="s">
        <v>991</v>
      </c>
      <c r="F134" s="1" t="s">
        <v>984</v>
      </c>
      <c r="G134" s="1">
        <v>4</v>
      </c>
      <c r="H134" s="1" t="s">
        <v>985</v>
      </c>
      <c r="I134" s="1" t="s">
        <v>997</v>
      </c>
      <c r="J134" s="1" t="s">
        <v>1032</v>
      </c>
      <c r="K134" s="1">
        <v>2</v>
      </c>
      <c r="L134" s="1">
        <v>11.3</v>
      </c>
      <c r="M134" s="1">
        <v>11.1</v>
      </c>
      <c r="N134" s="1">
        <v>15.5</v>
      </c>
      <c r="O134" s="1">
        <f t="shared" si="5"/>
        <v>12.633333333333333</v>
      </c>
      <c r="P134" s="1">
        <v>90</v>
      </c>
      <c r="Q134" s="1">
        <v>4</v>
      </c>
      <c r="R134" s="1" t="str">
        <f t="shared" si="6"/>
        <v>Aprovado</v>
      </c>
      <c r="S134" s="1" t="s">
        <v>49</v>
      </c>
      <c r="T134" s="1" t="s">
        <v>49</v>
      </c>
      <c r="U134" s="1" t="s">
        <v>653</v>
      </c>
      <c r="V134" s="1">
        <v>2023</v>
      </c>
      <c r="W134" s="1" t="s">
        <v>988</v>
      </c>
      <c r="X134" s="1" t="s">
        <v>1002</v>
      </c>
      <c r="Y134" s="1" t="s">
        <v>310</v>
      </c>
    </row>
    <row r="135" spans="1:25" ht="15.75" x14ac:dyDescent="0.25">
      <c r="A135">
        <v>134</v>
      </c>
      <c r="B135" t="s">
        <v>1154</v>
      </c>
      <c r="C135" t="s">
        <v>43</v>
      </c>
      <c r="D135" s="1">
        <v>20</v>
      </c>
      <c r="E135" s="1" t="s">
        <v>983</v>
      </c>
      <c r="F135" s="1" t="s">
        <v>984</v>
      </c>
      <c r="G135" s="1">
        <v>1</v>
      </c>
      <c r="H135" s="1" t="s">
        <v>992</v>
      </c>
      <c r="I135" s="1" t="s">
        <v>1017</v>
      </c>
      <c r="J135" s="1" t="s">
        <v>1043</v>
      </c>
      <c r="K135" s="1">
        <v>2</v>
      </c>
      <c r="L135" s="1">
        <v>15.6</v>
      </c>
      <c r="M135" s="1">
        <v>11.2</v>
      </c>
      <c r="N135" s="1">
        <v>17.3</v>
      </c>
      <c r="O135" s="1">
        <f t="shared" si="5"/>
        <v>14.699999999999998</v>
      </c>
      <c r="P135" s="1">
        <v>87</v>
      </c>
      <c r="Q135" s="1">
        <v>4</v>
      </c>
      <c r="R135" s="1" t="str">
        <f t="shared" si="6"/>
        <v>Aprovado</v>
      </c>
      <c r="S135" s="1" t="s">
        <v>66</v>
      </c>
      <c r="T135" s="1" t="s">
        <v>49</v>
      </c>
      <c r="U135" s="1" t="s">
        <v>653</v>
      </c>
      <c r="V135" s="1">
        <v>2022</v>
      </c>
      <c r="W135" s="1" t="s">
        <v>988</v>
      </c>
      <c r="X135" s="1" t="s">
        <v>1002</v>
      </c>
      <c r="Y135" s="1" t="s">
        <v>310</v>
      </c>
    </row>
    <row r="136" spans="1:25" ht="15.75" x14ac:dyDescent="0.25">
      <c r="A136">
        <v>135</v>
      </c>
      <c r="B136" t="s">
        <v>1155</v>
      </c>
      <c r="C136" t="s">
        <v>30</v>
      </c>
      <c r="D136" s="1">
        <v>20</v>
      </c>
      <c r="E136" s="1" t="s">
        <v>983</v>
      </c>
      <c r="F136" s="1" t="s">
        <v>984</v>
      </c>
      <c r="G136" s="1">
        <v>4</v>
      </c>
      <c r="H136" s="1" t="s">
        <v>1000</v>
      </c>
      <c r="I136" s="1" t="s">
        <v>1010</v>
      </c>
      <c r="J136" s="1" t="s">
        <v>1013</v>
      </c>
      <c r="K136" s="1">
        <v>1</v>
      </c>
      <c r="L136" s="1">
        <v>8.4</v>
      </c>
      <c r="M136" s="1">
        <v>13.7</v>
      </c>
      <c r="N136" s="1">
        <v>8.6999999999999993</v>
      </c>
      <c r="O136" s="1">
        <f t="shared" si="5"/>
        <v>10.266666666666667</v>
      </c>
      <c r="P136" s="1">
        <v>80</v>
      </c>
      <c r="Q136" s="1">
        <v>6</v>
      </c>
      <c r="R136" s="1" t="str">
        <f t="shared" si="6"/>
        <v>Aprovado</v>
      </c>
      <c r="S136" s="1" t="s">
        <v>66</v>
      </c>
      <c r="T136" s="1" t="s">
        <v>49</v>
      </c>
      <c r="U136" s="1" t="s">
        <v>653</v>
      </c>
      <c r="V136" s="1">
        <v>2025</v>
      </c>
      <c r="W136" s="1" t="s">
        <v>988</v>
      </c>
      <c r="X136" s="1" t="s">
        <v>989</v>
      </c>
      <c r="Y136" s="1" t="s">
        <v>310</v>
      </c>
    </row>
    <row r="137" spans="1:25" ht="15.75" x14ac:dyDescent="0.25">
      <c r="A137">
        <v>136</v>
      </c>
      <c r="B137" t="s">
        <v>1156</v>
      </c>
      <c r="C137" t="s">
        <v>43</v>
      </c>
      <c r="D137" s="1">
        <v>25</v>
      </c>
      <c r="E137" s="1" t="s">
        <v>991</v>
      </c>
      <c r="F137" s="1" t="s">
        <v>984</v>
      </c>
      <c r="G137" s="1">
        <v>4</v>
      </c>
      <c r="H137" s="1" t="s">
        <v>992</v>
      </c>
      <c r="I137" s="1" t="s">
        <v>1022</v>
      </c>
      <c r="J137" s="1" t="s">
        <v>1005</v>
      </c>
      <c r="K137" s="1">
        <v>1</v>
      </c>
      <c r="L137" s="1">
        <v>10.3</v>
      </c>
      <c r="M137" s="1">
        <v>16.8</v>
      </c>
      <c r="N137" s="1">
        <v>18.3</v>
      </c>
      <c r="O137" s="1">
        <f t="shared" si="5"/>
        <v>15.133333333333335</v>
      </c>
      <c r="P137" s="1">
        <v>100</v>
      </c>
      <c r="Q137" s="1">
        <v>6</v>
      </c>
      <c r="R137" s="1" t="str">
        <f t="shared" si="6"/>
        <v>Aprovado</v>
      </c>
      <c r="S137" s="1" t="s">
        <v>27</v>
      </c>
      <c r="T137" s="1" t="s">
        <v>40</v>
      </c>
      <c r="U137" s="1" t="s">
        <v>653</v>
      </c>
      <c r="V137" s="1">
        <v>2022</v>
      </c>
      <c r="W137" s="1" t="s">
        <v>994</v>
      </c>
      <c r="X137" s="1" t="s">
        <v>1002</v>
      </c>
      <c r="Y137" s="1" t="s">
        <v>310</v>
      </c>
    </row>
    <row r="138" spans="1:25" ht="15.75" x14ac:dyDescent="0.25">
      <c r="A138">
        <v>137</v>
      </c>
      <c r="B138" t="s">
        <v>1157</v>
      </c>
      <c r="C138" t="s">
        <v>30</v>
      </c>
      <c r="D138" s="1">
        <v>18</v>
      </c>
      <c r="E138" s="1" t="s">
        <v>983</v>
      </c>
      <c r="F138" s="1" t="s">
        <v>984</v>
      </c>
      <c r="G138" s="1">
        <v>2</v>
      </c>
      <c r="H138" s="1" t="s">
        <v>992</v>
      </c>
      <c r="I138" s="1" t="s">
        <v>1012</v>
      </c>
      <c r="J138" s="1" t="s">
        <v>1008</v>
      </c>
      <c r="K138" s="1">
        <v>2</v>
      </c>
      <c r="L138" s="1">
        <v>8.8000000000000007</v>
      </c>
      <c r="M138" s="1">
        <v>17.100000000000001</v>
      </c>
      <c r="N138" s="1">
        <v>18.5</v>
      </c>
      <c r="O138" s="1">
        <f t="shared" si="5"/>
        <v>14.800000000000002</v>
      </c>
      <c r="P138" s="1">
        <v>90</v>
      </c>
      <c r="Q138" s="1">
        <v>7</v>
      </c>
      <c r="R138" s="1" t="str">
        <f t="shared" si="6"/>
        <v>Aprovado</v>
      </c>
      <c r="S138" s="1" t="s">
        <v>49</v>
      </c>
      <c r="T138" s="1" t="s">
        <v>40</v>
      </c>
      <c r="U138" s="1" t="s">
        <v>653</v>
      </c>
      <c r="V138" s="1">
        <v>2024</v>
      </c>
      <c r="W138" s="1" t="s">
        <v>988</v>
      </c>
      <c r="X138" s="1" t="s">
        <v>989</v>
      </c>
      <c r="Y138" s="1" t="s">
        <v>310</v>
      </c>
    </row>
    <row r="139" spans="1:25" ht="15.75" x14ac:dyDescent="0.25">
      <c r="A139">
        <v>138</v>
      </c>
      <c r="B139" t="s">
        <v>1158</v>
      </c>
      <c r="C139" t="s">
        <v>43</v>
      </c>
      <c r="D139" s="1">
        <v>27</v>
      </c>
      <c r="E139" s="1" t="s">
        <v>991</v>
      </c>
      <c r="F139" s="1" t="s">
        <v>984</v>
      </c>
      <c r="G139" s="1">
        <v>2</v>
      </c>
      <c r="H139" s="1" t="s">
        <v>1000</v>
      </c>
      <c r="I139" s="1" t="s">
        <v>1019</v>
      </c>
      <c r="J139" s="1" t="s">
        <v>1029</v>
      </c>
      <c r="K139" s="1">
        <v>2</v>
      </c>
      <c r="L139" s="1">
        <v>12.5</v>
      </c>
      <c r="M139" s="1">
        <v>9.1999999999999993</v>
      </c>
      <c r="N139" s="1">
        <v>19.3</v>
      </c>
      <c r="O139" s="1">
        <f t="shared" si="5"/>
        <v>13.666666666666666</v>
      </c>
      <c r="P139" s="1">
        <v>81</v>
      </c>
      <c r="Q139" s="1">
        <v>7</v>
      </c>
      <c r="R139" s="1" t="str">
        <f t="shared" si="6"/>
        <v>Aprovado</v>
      </c>
      <c r="S139" s="1" t="s">
        <v>27</v>
      </c>
      <c r="T139" s="1" t="s">
        <v>27</v>
      </c>
      <c r="U139" s="1" t="s">
        <v>647</v>
      </c>
      <c r="V139" s="1">
        <v>2026</v>
      </c>
      <c r="W139" s="1" t="s">
        <v>994</v>
      </c>
      <c r="X139" s="1" t="s">
        <v>1002</v>
      </c>
      <c r="Y139" s="1" t="s">
        <v>310</v>
      </c>
    </row>
    <row r="140" spans="1:25" ht="15.75" x14ac:dyDescent="0.25">
      <c r="A140">
        <v>139</v>
      </c>
      <c r="B140" t="s">
        <v>1159</v>
      </c>
      <c r="C140" t="s">
        <v>43</v>
      </c>
      <c r="D140" s="1">
        <v>18</v>
      </c>
      <c r="E140" s="1" t="s">
        <v>996</v>
      </c>
      <c r="F140" s="1" t="s">
        <v>984</v>
      </c>
      <c r="G140" s="1">
        <v>2</v>
      </c>
      <c r="H140" s="1" t="s">
        <v>1025</v>
      </c>
      <c r="I140" s="1" t="s">
        <v>1010</v>
      </c>
      <c r="J140" s="1" t="s">
        <v>1001</v>
      </c>
      <c r="K140" s="1">
        <v>2</v>
      </c>
      <c r="L140" s="1">
        <v>10.6</v>
      </c>
      <c r="M140" s="1">
        <v>16.399999999999999</v>
      </c>
      <c r="N140" s="1">
        <v>12.3</v>
      </c>
      <c r="O140" s="1">
        <f t="shared" si="5"/>
        <v>13.1</v>
      </c>
      <c r="P140" s="1">
        <v>84</v>
      </c>
      <c r="Q140" s="1">
        <v>8</v>
      </c>
      <c r="R140" s="1" t="str">
        <f t="shared" si="6"/>
        <v>Aprovado</v>
      </c>
      <c r="S140" s="1" t="s">
        <v>66</v>
      </c>
      <c r="T140" s="1" t="s">
        <v>40</v>
      </c>
      <c r="U140" s="1" t="s">
        <v>647</v>
      </c>
      <c r="V140" s="1">
        <v>2024</v>
      </c>
      <c r="W140" s="1" t="s">
        <v>988</v>
      </c>
      <c r="X140" s="1" t="s">
        <v>989</v>
      </c>
      <c r="Y140" s="1" t="s">
        <v>310</v>
      </c>
    </row>
    <row r="141" spans="1:25" ht="15.75" x14ac:dyDescent="0.25">
      <c r="A141">
        <v>140</v>
      </c>
      <c r="B141" t="s">
        <v>1160</v>
      </c>
      <c r="C141" t="s">
        <v>43</v>
      </c>
      <c r="D141" s="1">
        <v>32</v>
      </c>
      <c r="E141" s="1" t="s">
        <v>996</v>
      </c>
      <c r="F141" s="1" t="s">
        <v>984</v>
      </c>
      <c r="G141" s="1">
        <v>2</v>
      </c>
      <c r="H141" s="1" t="s">
        <v>1000</v>
      </c>
      <c r="I141" s="1" t="s">
        <v>1022</v>
      </c>
      <c r="J141" s="1" t="s">
        <v>1049</v>
      </c>
      <c r="K141" s="1">
        <v>2</v>
      </c>
      <c r="L141" s="1">
        <v>14.2</v>
      </c>
      <c r="M141" s="1">
        <v>12</v>
      </c>
      <c r="N141" s="1">
        <v>11</v>
      </c>
      <c r="O141" s="1">
        <f t="shared" si="5"/>
        <v>12.4</v>
      </c>
      <c r="P141" s="1">
        <v>79</v>
      </c>
      <c r="Q141" s="1">
        <v>7</v>
      </c>
      <c r="R141" s="1" t="str">
        <f t="shared" si="6"/>
        <v>Aprovado</v>
      </c>
      <c r="S141" s="1" t="s">
        <v>27</v>
      </c>
      <c r="T141" s="1" t="s">
        <v>27</v>
      </c>
      <c r="U141" s="1" t="s">
        <v>647</v>
      </c>
      <c r="V141" s="1">
        <v>2023</v>
      </c>
      <c r="W141" s="1" t="s">
        <v>994</v>
      </c>
      <c r="X141" s="1" t="s">
        <v>1002</v>
      </c>
      <c r="Y141" s="1" t="s">
        <v>310</v>
      </c>
    </row>
    <row r="142" spans="1:25" ht="15.75" x14ac:dyDescent="0.25">
      <c r="A142">
        <v>141</v>
      </c>
      <c r="B142" t="s">
        <v>1161</v>
      </c>
      <c r="C142" t="s">
        <v>43</v>
      </c>
      <c r="D142" s="1">
        <v>35</v>
      </c>
      <c r="E142" s="1" t="s">
        <v>983</v>
      </c>
      <c r="F142" s="1" t="s">
        <v>984</v>
      </c>
      <c r="G142" s="1">
        <v>4</v>
      </c>
      <c r="H142" s="1" t="s">
        <v>1000</v>
      </c>
      <c r="I142" s="1" t="s">
        <v>1012</v>
      </c>
      <c r="J142" s="1" t="s">
        <v>987</v>
      </c>
      <c r="K142" s="1">
        <v>2</v>
      </c>
      <c r="L142" s="1">
        <v>9.1</v>
      </c>
      <c r="M142" s="1">
        <v>13.3</v>
      </c>
      <c r="N142" s="1">
        <v>12.9</v>
      </c>
      <c r="O142" s="1">
        <f t="shared" si="5"/>
        <v>11.766666666666666</v>
      </c>
      <c r="P142" s="1">
        <v>90</v>
      </c>
      <c r="Q142" s="1">
        <v>4</v>
      </c>
      <c r="R142" s="1" t="str">
        <f t="shared" si="6"/>
        <v>Aprovado</v>
      </c>
      <c r="S142" s="1" t="s">
        <v>27</v>
      </c>
      <c r="T142" s="1" t="s">
        <v>49</v>
      </c>
      <c r="U142" s="1" t="s">
        <v>653</v>
      </c>
      <c r="V142" s="1">
        <v>2023</v>
      </c>
      <c r="W142" s="1" t="s">
        <v>994</v>
      </c>
      <c r="X142" s="1" t="s">
        <v>989</v>
      </c>
      <c r="Y142" s="1" t="s">
        <v>310</v>
      </c>
    </row>
    <row r="143" spans="1:25" ht="15.75" x14ac:dyDescent="0.25">
      <c r="A143">
        <v>142</v>
      </c>
      <c r="B143" t="s">
        <v>1162</v>
      </c>
      <c r="C143" t="s">
        <v>43</v>
      </c>
      <c r="D143" s="1">
        <v>18</v>
      </c>
      <c r="E143" s="1" t="s">
        <v>996</v>
      </c>
      <c r="F143" s="1" t="s">
        <v>984</v>
      </c>
      <c r="G143" s="1">
        <v>2</v>
      </c>
      <c r="H143" s="1" t="s">
        <v>1000</v>
      </c>
      <c r="I143" s="1" t="s">
        <v>1054</v>
      </c>
      <c r="J143" s="1" t="s">
        <v>987</v>
      </c>
      <c r="K143" s="1">
        <v>1</v>
      </c>
      <c r="L143" s="1">
        <v>17.5</v>
      </c>
      <c r="M143" s="1">
        <v>8.8000000000000007</v>
      </c>
      <c r="N143" s="1">
        <v>13.3</v>
      </c>
      <c r="O143" s="1">
        <f t="shared" si="5"/>
        <v>13.200000000000001</v>
      </c>
      <c r="P143" s="1">
        <v>68</v>
      </c>
      <c r="Q143" s="1">
        <v>8</v>
      </c>
      <c r="R143" s="1" t="str">
        <f t="shared" si="6"/>
        <v>Aprovado</v>
      </c>
      <c r="S143" s="1" t="s">
        <v>49</v>
      </c>
      <c r="T143" s="1" t="s">
        <v>49</v>
      </c>
      <c r="U143" s="1" t="s">
        <v>647</v>
      </c>
      <c r="V143" s="1">
        <v>2024</v>
      </c>
      <c r="W143" s="1" t="s">
        <v>994</v>
      </c>
      <c r="X143" s="1" t="s">
        <v>1002</v>
      </c>
      <c r="Y143" s="1" t="s">
        <v>310</v>
      </c>
    </row>
    <row r="144" spans="1:25" ht="15.75" x14ac:dyDescent="0.25">
      <c r="A144">
        <v>143</v>
      </c>
      <c r="B144" t="s">
        <v>1163</v>
      </c>
      <c r="C144" t="s">
        <v>30</v>
      </c>
      <c r="D144" s="1">
        <v>24</v>
      </c>
      <c r="E144" s="1" t="s">
        <v>991</v>
      </c>
      <c r="F144" s="1" t="s">
        <v>984</v>
      </c>
      <c r="G144" s="1">
        <v>4</v>
      </c>
      <c r="H144" s="1" t="s">
        <v>1025</v>
      </c>
      <c r="I144" s="1" t="s">
        <v>1017</v>
      </c>
      <c r="J144" s="1" t="s">
        <v>998</v>
      </c>
      <c r="K144" s="1">
        <v>2</v>
      </c>
      <c r="L144" s="1">
        <v>17.399999999999999</v>
      </c>
      <c r="M144" s="1">
        <v>16.3</v>
      </c>
      <c r="N144" s="1">
        <v>11.4</v>
      </c>
      <c r="O144" s="1">
        <f t="shared" si="5"/>
        <v>15.033333333333333</v>
      </c>
      <c r="P144" s="1">
        <v>65</v>
      </c>
      <c r="Q144" s="1">
        <v>5</v>
      </c>
      <c r="R144" s="1" t="str">
        <f t="shared" si="6"/>
        <v>Aprovado</v>
      </c>
      <c r="S144" s="1" t="s">
        <v>49</v>
      </c>
      <c r="T144" s="1" t="s">
        <v>27</v>
      </c>
      <c r="U144" s="1" t="s">
        <v>653</v>
      </c>
      <c r="V144" s="1">
        <v>2024</v>
      </c>
      <c r="W144" s="1" t="s">
        <v>994</v>
      </c>
      <c r="X144" s="1" t="s">
        <v>1002</v>
      </c>
      <c r="Y144" s="1" t="s">
        <v>310</v>
      </c>
    </row>
    <row r="145" spans="1:25" ht="15.75" x14ac:dyDescent="0.25">
      <c r="A145">
        <v>144</v>
      </c>
      <c r="B145" t="s">
        <v>1164</v>
      </c>
      <c r="C145" t="s">
        <v>30</v>
      </c>
      <c r="D145" s="1">
        <v>22</v>
      </c>
      <c r="E145" s="1" t="s">
        <v>983</v>
      </c>
      <c r="F145" s="1" t="s">
        <v>984</v>
      </c>
      <c r="G145" s="1">
        <v>2</v>
      </c>
      <c r="H145" s="1" t="s">
        <v>985</v>
      </c>
      <c r="I145" s="1" t="s">
        <v>1041</v>
      </c>
      <c r="J145" s="1" t="s">
        <v>1015</v>
      </c>
      <c r="K145" s="1">
        <v>2</v>
      </c>
      <c r="L145" s="1">
        <v>17.100000000000001</v>
      </c>
      <c r="M145" s="1">
        <v>11.1</v>
      </c>
      <c r="N145" s="1">
        <v>16.100000000000001</v>
      </c>
      <c r="O145" s="1">
        <f t="shared" si="5"/>
        <v>14.766666666666667</v>
      </c>
      <c r="P145" s="1">
        <v>82</v>
      </c>
      <c r="Q145" s="1">
        <v>7</v>
      </c>
      <c r="R145" s="1" t="str">
        <f t="shared" si="6"/>
        <v>Aprovado</v>
      </c>
      <c r="S145" s="1" t="s">
        <v>27</v>
      </c>
      <c r="T145" s="1" t="s">
        <v>40</v>
      </c>
      <c r="U145" s="1" t="s">
        <v>647</v>
      </c>
      <c r="V145" s="1">
        <v>2024</v>
      </c>
      <c r="W145" s="1" t="s">
        <v>994</v>
      </c>
      <c r="X145" s="1" t="s">
        <v>1002</v>
      </c>
      <c r="Y145" s="1" t="s">
        <v>310</v>
      </c>
    </row>
    <row r="146" spans="1:25" ht="15.75" x14ac:dyDescent="0.25">
      <c r="A146">
        <v>145</v>
      </c>
      <c r="B146" t="s">
        <v>1165</v>
      </c>
      <c r="C146" t="s">
        <v>30</v>
      </c>
      <c r="D146" s="1">
        <v>21</v>
      </c>
      <c r="E146" s="1" t="s">
        <v>996</v>
      </c>
      <c r="F146" s="1" t="s">
        <v>984</v>
      </c>
      <c r="G146" s="1">
        <v>2</v>
      </c>
      <c r="H146" s="1" t="s">
        <v>985</v>
      </c>
      <c r="I146" s="1" t="s">
        <v>1004</v>
      </c>
      <c r="J146" s="1" t="s">
        <v>1005</v>
      </c>
      <c r="K146" s="1">
        <v>2</v>
      </c>
      <c r="L146" s="1">
        <v>9.9</v>
      </c>
      <c r="M146" s="1">
        <v>9.9</v>
      </c>
      <c r="N146" s="1">
        <v>19.3</v>
      </c>
      <c r="O146" s="1">
        <f t="shared" si="5"/>
        <v>13.033333333333333</v>
      </c>
      <c r="P146" s="1">
        <v>68</v>
      </c>
      <c r="Q146" s="1">
        <v>4</v>
      </c>
      <c r="R146" s="1" t="str">
        <f t="shared" si="6"/>
        <v>Aprovado</v>
      </c>
      <c r="S146" s="1" t="s">
        <v>27</v>
      </c>
      <c r="T146" s="1" t="s">
        <v>40</v>
      </c>
      <c r="U146" s="1" t="s">
        <v>647</v>
      </c>
      <c r="V146" s="1">
        <v>2023</v>
      </c>
      <c r="W146" s="1" t="s">
        <v>988</v>
      </c>
      <c r="X146" s="1" t="s">
        <v>989</v>
      </c>
      <c r="Y146" s="1" t="s">
        <v>310</v>
      </c>
    </row>
    <row r="147" spans="1:25" ht="15.75" x14ac:dyDescent="0.25">
      <c r="A147">
        <v>146</v>
      </c>
      <c r="B147" t="s">
        <v>1166</v>
      </c>
      <c r="C147" t="s">
        <v>43</v>
      </c>
      <c r="D147" s="1">
        <v>26</v>
      </c>
      <c r="E147" s="1" t="s">
        <v>991</v>
      </c>
      <c r="F147" s="1" t="s">
        <v>984</v>
      </c>
      <c r="G147" s="1">
        <v>1</v>
      </c>
      <c r="H147" s="1" t="s">
        <v>985</v>
      </c>
      <c r="I147" s="1" t="s">
        <v>1007</v>
      </c>
      <c r="J147" s="1" t="s">
        <v>1049</v>
      </c>
      <c r="K147" s="1">
        <v>1</v>
      </c>
      <c r="L147" s="1">
        <v>14.2</v>
      </c>
      <c r="M147" s="1">
        <v>14.8</v>
      </c>
      <c r="N147" s="1">
        <v>14.8</v>
      </c>
      <c r="O147" s="1">
        <f t="shared" si="5"/>
        <v>14.6</v>
      </c>
      <c r="P147" s="1">
        <v>77</v>
      </c>
      <c r="Q147" s="1">
        <v>6</v>
      </c>
      <c r="R147" s="1" t="str">
        <f t="shared" si="6"/>
        <v>Aprovado</v>
      </c>
      <c r="S147" s="1" t="s">
        <v>66</v>
      </c>
      <c r="T147" s="1" t="s">
        <v>27</v>
      </c>
      <c r="U147" s="1" t="s">
        <v>653</v>
      </c>
      <c r="V147" s="1">
        <v>2022</v>
      </c>
      <c r="W147" s="1" t="s">
        <v>988</v>
      </c>
      <c r="X147" s="1" t="s">
        <v>1002</v>
      </c>
      <c r="Y147" s="1" t="s">
        <v>310</v>
      </c>
    </row>
    <row r="148" spans="1:25" ht="15.75" x14ac:dyDescent="0.25">
      <c r="A148">
        <v>147</v>
      </c>
      <c r="B148" t="s">
        <v>1167</v>
      </c>
      <c r="C148" t="s">
        <v>43</v>
      </c>
      <c r="D148" s="1">
        <v>27</v>
      </c>
      <c r="E148" s="1" t="s">
        <v>996</v>
      </c>
      <c r="F148" s="1" t="s">
        <v>984</v>
      </c>
      <c r="G148" s="1">
        <v>1</v>
      </c>
      <c r="H148" s="1" t="s">
        <v>1000</v>
      </c>
      <c r="I148" s="1" t="s">
        <v>1041</v>
      </c>
      <c r="J148" s="1" t="s">
        <v>987</v>
      </c>
      <c r="K148" s="1">
        <v>1</v>
      </c>
      <c r="L148" s="1">
        <v>16.7</v>
      </c>
      <c r="M148" s="1">
        <v>10.4</v>
      </c>
      <c r="N148" s="1">
        <v>16.600000000000001</v>
      </c>
      <c r="O148" s="1">
        <f t="shared" si="5"/>
        <v>14.566666666666668</v>
      </c>
      <c r="P148" s="1">
        <v>75</v>
      </c>
      <c r="Q148" s="1">
        <v>4</v>
      </c>
      <c r="R148" s="1" t="str">
        <f t="shared" si="6"/>
        <v>Aprovado</v>
      </c>
      <c r="S148" s="1" t="s">
        <v>66</v>
      </c>
      <c r="T148" s="1" t="s">
        <v>40</v>
      </c>
      <c r="U148" s="1" t="s">
        <v>653</v>
      </c>
      <c r="V148" s="1">
        <v>2024</v>
      </c>
      <c r="W148" s="1" t="s">
        <v>994</v>
      </c>
      <c r="X148" s="1" t="s">
        <v>989</v>
      </c>
      <c r="Y148" s="1" t="s">
        <v>310</v>
      </c>
    </row>
    <row r="149" spans="1:25" ht="15.75" x14ac:dyDescent="0.25">
      <c r="A149">
        <v>148</v>
      </c>
      <c r="B149" t="s">
        <v>1168</v>
      </c>
      <c r="C149" t="s">
        <v>30</v>
      </c>
      <c r="D149" s="1">
        <v>24</v>
      </c>
      <c r="E149" s="1" t="s">
        <v>996</v>
      </c>
      <c r="F149" s="1" t="s">
        <v>984</v>
      </c>
      <c r="G149" s="1">
        <v>3</v>
      </c>
      <c r="H149" s="1" t="s">
        <v>992</v>
      </c>
      <c r="I149" s="1" t="s">
        <v>1017</v>
      </c>
      <c r="J149" s="1" t="s">
        <v>1032</v>
      </c>
      <c r="K149" s="1">
        <v>2</v>
      </c>
      <c r="L149" s="1">
        <v>10.3</v>
      </c>
      <c r="M149" s="1">
        <v>14.3</v>
      </c>
      <c r="N149" s="1">
        <v>13.5</v>
      </c>
      <c r="O149" s="1">
        <f t="shared" si="5"/>
        <v>12.700000000000001</v>
      </c>
      <c r="P149" s="1">
        <v>98</v>
      </c>
      <c r="Q149" s="1">
        <v>5</v>
      </c>
      <c r="R149" s="1" t="str">
        <f t="shared" si="6"/>
        <v>Aprovado</v>
      </c>
      <c r="S149" s="1" t="s">
        <v>66</v>
      </c>
      <c r="T149" s="1" t="s">
        <v>27</v>
      </c>
      <c r="U149" s="1" t="s">
        <v>653</v>
      </c>
      <c r="V149" s="1">
        <v>2026</v>
      </c>
      <c r="W149" s="1" t="s">
        <v>994</v>
      </c>
      <c r="X149" s="1" t="s">
        <v>989</v>
      </c>
      <c r="Y149" s="1" t="s">
        <v>310</v>
      </c>
    </row>
    <row r="150" spans="1:25" ht="15.75" x14ac:dyDescent="0.25">
      <c r="A150">
        <v>149</v>
      </c>
      <c r="B150" t="s">
        <v>1169</v>
      </c>
      <c r="C150" t="s">
        <v>43</v>
      </c>
      <c r="D150" s="1">
        <v>33</v>
      </c>
      <c r="E150" s="1" t="s">
        <v>996</v>
      </c>
      <c r="F150" s="1" t="s">
        <v>984</v>
      </c>
      <c r="G150" s="1">
        <v>4</v>
      </c>
      <c r="H150" s="1" t="s">
        <v>1000</v>
      </c>
      <c r="I150" s="1" t="s">
        <v>1010</v>
      </c>
      <c r="J150" s="1" t="s">
        <v>1008</v>
      </c>
      <c r="K150" s="1">
        <v>2</v>
      </c>
      <c r="L150" s="1">
        <v>9.8000000000000007</v>
      </c>
      <c r="M150" s="1">
        <v>10.4</v>
      </c>
      <c r="N150" s="1">
        <v>19.100000000000001</v>
      </c>
      <c r="O150" s="1">
        <f t="shared" si="5"/>
        <v>13.100000000000001</v>
      </c>
      <c r="P150" s="1">
        <v>76</v>
      </c>
      <c r="Q150" s="1">
        <v>5</v>
      </c>
      <c r="R150" s="1" t="str">
        <f t="shared" si="6"/>
        <v>Aprovado</v>
      </c>
      <c r="S150" s="1" t="s">
        <v>49</v>
      </c>
      <c r="T150" s="1" t="s">
        <v>49</v>
      </c>
      <c r="U150" s="1" t="s">
        <v>653</v>
      </c>
      <c r="V150" s="1">
        <v>2022</v>
      </c>
      <c r="W150" s="1" t="s">
        <v>994</v>
      </c>
      <c r="X150" s="1" t="s">
        <v>989</v>
      </c>
      <c r="Y150" s="1" t="s">
        <v>310</v>
      </c>
    </row>
    <row r="151" spans="1:25" ht="15.75" x14ac:dyDescent="0.25">
      <c r="A151">
        <v>150</v>
      </c>
      <c r="B151" t="s">
        <v>1170</v>
      </c>
      <c r="C151" t="s">
        <v>43</v>
      </c>
      <c r="D151" s="1">
        <v>18</v>
      </c>
      <c r="E151" s="1" t="s">
        <v>996</v>
      </c>
      <c r="F151" s="1" t="s">
        <v>984</v>
      </c>
      <c r="G151" s="1">
        <v>3</v>
      </c>
      <c r="H151" s="1" t="s">
        <v>985</v>
      </c>
      <c r="I151" s="1" t="s">
        <v>1007</v>
      </c>
      <c r="J151" s="1" t="s">
        <v>998</v>
      </c>
      <c r="K151" s="1">
        <v>2</v>
      </c>
      <c r="L151" s="1">
        <v>12</v>
      </c>
      <c r="M151" s="1">
        <v>8.5</v>
      </c>
      <c r="N151" s="1">
        <v>12.4</v>
      </c>
      <c r="O151" s="1">
        <f t="shared" si="5"/>
        <v>10.966666666666667</v>
      </c>
      <c r="P151" s="1">
        <v>90</v>
      </c>
      <c r="Q151" s="1">
        <v>8</v>
      </c>
      <c r="R151" s="1" t="str">
        <f t="shared" si="6"/>
        <v>Aprovado</v>
      </c>
      <c r="S151" s="1" t="s">
        <v>66</v>
      </c>
      <c r="T151" s="1" t="s">
        <v>27</v>
      </c>
      <c r="U151" s="1" t="s">
        <v>647</v>
      </c>
      <c r="V151" s="1">
        <v>2026</v>
      </c>
      <c r="W151" s="1" t="s">
        <v>994</v>
      </c>
      <c r="X151" s="1" t="s">
        <v>1002</v>
      </c>
      <c r="Y151" s="1" t="s">
        <v>310</v>
      </c>
    </row>
    <row r="152" spans="1:25" ht="15.75" x14ac:dyDescent="0.25"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x14ac:dyDescent="0.25"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6" spans="1:25" ht="15.75" x14ac:dyDescent="0.25">
      <c r="A156" s="1"/>
      <c r="B156" s="1"/>
      <c r="D156" s="1" t="s">
        <v>1543</v>
      </c>
      <c r="E156" s="1"/>
      <c r="F156" s="1"/>
      <c r="G156" s="5">
        <f>COUNTA(Académico!B2:B151)</f>
        <v>150</v>
      </c>
    </row>
    <row r="157" spans="1:25" ht="15.75" x14ac:dyDescent="0.25">
      <c r="A157" s="1"/>
      <c r="B157" s="1"/>
      <c r="D157" s="1" t="s">
        <v>1544</v>
      </c>
      <c r="E157" s="1"/>
      <c r="F157" s="1"/>
      <c r="G157" s="1">
        <f>AVERAGE(Académico!O2:O151)</f>
        <v>13.370444444444445</v>
      </c>
    </row>
    <row r="158" spans="1:25" ht="15.75" x14ac:dyDescent="0.25">
      <c r="A158" s="1"/>
      <c r="B158" s="1"/>
      <c r="D158" s="1" t="s">
        <v>1545</v>
      </c>
      <c r="E158" s="1"/>
      <c r="F158" s="1"/>
      <c r="G158" s="6">
        <f>COUNTIF(Académico!R2:R151, "Aprovado") / COUNTA(Académico!B2:B151)</f>
        <v>0.98</v>
      </c>
    </row>
    <row r="159" spans="1:25" ht="15.75" x14ac:dyDescent="0.25">
      <c r="A159" s="1"/>
      <c r="B159" s="1"/>
      <c r="D159" s="1" t="s">
        <v>1546</v>
      </c>
      <c r="E159" s="1"/>
      <c r="F159" s="1"/>
      <c r="G159" s="6">
        <f>COUNTIF(Académico!R2:R151, "Reprovado") / COUNTA(Académico!B2:B151)</f>
        <v>0.02</v>
      </c>
    </row>
    <row r="160" spans="1:25" ht="15.75" x14ac:dyDescent="0.25">
      <c r="A160" s="1"/>
      <c r="B160" s="1"/>
      <c r="D160" s="1" t="s">
        <v>1547</v>
      </c>
      <c r="E160" s="1"/>
      <c r="F160" s="1"/>
      <c r="G160" s="7">
        <f>AVERAGE(Académico!P2:P151)</f>
        <v>79.986666666666665</v>
      </c>
    </row>
    <row r="161" spans="1:8" ht="15.75" x14ac:dyDescent="0.25">
      <c r="A161" s="1"/>
      <c r="B161" s="1"/>
    </row>
    <row r="162" spans="1:8" ht="15.75" x14ac:dyDescent="0.25">
      <c r="A162" s="1"/>
      <c r="B162" s="1"/>
    </row>
    <row r="163" spans="1:8" ht="15.75" x14ac:dyDescent="0.25">
      <c r="A163" s="1"/>
      <c r="B163" s="1"/>
      <c r="H163" s="4"/>
    </row>
    <row r="164" spans="1:8" ht="15.75" x14ac:dyDescent="0.25">
      <c r="A164" s="1"/>
      <c r="B164" s="1"/>
    </row>
  </sheetData>
  <conditionalFormatting sqref="AF135">
    <cfRule type="containsText" priority="4" operator="containsText" text="Reprovado">
      <formula>NOT(ISERROR(SEARCH("Reprovado",AF135)))</formula>
    </cfRule>
  </conditionalFormatting>
  <conditionalFormatting sqref="R2:R151">
    <cfRule type="containsText" dxfId="2" priority="3" operator="containsText" text="Reprovado">
      <formula>NOT(ISERROR(SEARCH("Reprovado",R2)))</formula>
    </cfRule>
  </conditionalFormatting>
  <conditionalFormatting sqref="S8">
    <cfRule type="containsText" dxfId="1" priority="2" operator="containsText" text="Aprovado">
      <formula>NOT(ISERROR(SEARCH("Aprovado",S8)))</formula>
    </cfRule>
  </conditionalFormatting>
  <conditionalFormatting sqref="R1:R151">
    <cfRule type="containsText" dxfId="0" priority="1" operator="containsText" text="Aprovado">
      <formula>NOT(ISERROR(SEARCH("Aprovado",R1)))</formula>
    </cfRule>
  </conditionalFormatting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1171</v>
      </c>
      <c r="C1" t="s">
        <v>11</v>
      </c>
      <c r="D1" t="s">
        <v>283</v>
      </c>
      <c r="E1" t="s">
        <v>8</v>
      </c>
      <c r="F1" t="s">
        <v>7</v>
      </c>
      <c r="G1" t="s">
        <v>1172</v>
      </c>
      <c r="H1" t="s">
        <v>1173</v>
      </c>
      <c r="I1" t="s">
        <v>1174</v>
      </c>
      <c r="J1" t="s">
        <v>1175</v>
      </c>
      <c r="K1" t="s">
        <v>1176</v>
      </c>
      <c r="L1" t="s">
        <v>1177</v>
      </c>
      <c r="M1" t="s">
        <v>1178</v>
      </c>
      <c r="N1" t="s">
        <v>1179</v>
      </c>
      <c r="O1" t="s">
        <v>1180</v>
      </c>
      <c r="P1" t="s">
        <v>21</v>
      </c>
      <c r="Q1" t="s">
        <v>1181</v>
      </c>
      <c r="R1" t="s">
        <v>1182</v>
      </c>
      <c r="S1" t="s">
        <v>1183</v>
      </c>
      <c r="T1" t="s">
        <v>24</v>
      </c>
      <c r="U1" t="s">
        <v>1184</v>
      </c>
      <c r="V1" t="s">
        <v>23</v>
      </c>
      <c r="W1" t="s">
        <v>1185</v>
      </c>
      <c r="X1" t="s">
        <v>1186</v>
      </c>
      <c r="Y1" t="s">
        <v>635</v>
      </c>
    </row>
    <row r="2" spans="1:25" x14ac:dyDescent="0.25">
      <c r="A2">
        <v>1</v>
      </c>
      <c r="B2" t="s">
        <v>682</v>
      </c>
      <c r="C2" t="s">
        <v>30</v>
      </c>
      <c r="D2">
        <v>17</v>
      </c>
      <c r="E2" t="s">
        <v>49</v>
      </c>
      <c r="F2" t="s">
        <v>49</v>
      </c>
      <c r="G2" t="s">
        <v>1187</v>
      </c>
      <c r="H2" t="s">
        <v>1188</v>
      </c>
      <c r="I2" t="s">
        <v>25</v>
      </c>
      <c r="J2" t="s">
        <v>38</v>
      </c>
      <c r="K2">
        <v>1</v>
      </c>
      <c r="L2" t="s">
        <v>1189</v>
      </c>
      <c r="M2" t="s">
        <v>1190</v>
      </c>
      <c r="N2">
        <v>10</v>
      </c>
      <c r="O2" t="s">
        <v>647</v>
      </c>
      <c r="P2">
        <v>25079</v>
      </c>
      <c r="Q2">
        <v>8</v>
      </c>
      <c r="R2">
        <v>3</v>
      </c>
      <c r="S2" t="s">
        <v>653</v>
      </c>
      <c r="T2" t="s">
        <v>1191</v>
      </c>
      <c r="U2" t="s">
        <v>647</v>
      </c>
      <c r="V2" t="s">
        <v>1180</v>
      </c>
      <c r="W2" t="s">
        <v>1184</v>
      </c>
      <c r="X2">
        <v>3</v>
      </c>
    </row>
    <row r="3" spans="1:25" x14ac:dyDescent="0.25">
      <c r="A3">
        <v>2</v>
      </c>
      <c r="B3" t="s">
        <v>645</v>
      </c>
      <c r="C3" t="s">
        <v>43</v>
      </c>
      <c r="D3">
        <v>78</v>
      </c>
      <c r="E3" t="s">
        <v>27</v>
      </c>
      <c r="F3" t="s">
        <v>40</v>
      </c>
      <c r="G3" t="s">
        <v>1187</v>
      </c>
      <c r="H3" t="s">
        <v>1192</v>
      </c>
      <c r="I3" t="s">
        <v>38</v>
      </c>
      <c r="J3" t="s">
        <v>72</v>
      </c>
      <c r="K3">
        <v>8</v>
      </c>
      <c r="L3" t="s">
        <v>1189</v>
      </c>
      <c r="M3" t="s">
        <v>1190</v>
      </c>
      <c r="N3">
        <v>18</v>
      </c>
      <c r="O3" t="s">
        <v>647</v>
      </c>
      <c r="P3">
        <v>4890</v>
      </c>
      <c r="Q3">
        <v>6</v>
      </c>
      <c r="R3">
        <v>0</v>
      </c>
      <c r="S3" t="s">
        <v>647</v>
      </c>
      <c r="T3" t="s">
        <v>1191</v>
      </c>
      <c r="U3" t="s">
        <v>653</v>
      </c>
      <c r="V3" t="s">
        <v>46</v>
      </c>
      <c r="W3" t="s">
        <v>1193</v>
      </c>
      <c r="X3">
        <v>4</v>
      </c>
    </row>
    <row r="4" spans="1:25" x14ac:dyDescent="0.25">
      <c r="A4">
        <v>3</v>
      </c>
      <c r="B4" t="s">
        <v>664</v>
      </c>
      <c r="C4" t="s">
        <v>30</v>
      </c>
      <c r="D4">
        <v>12</v>
      </c>
      <c r="E4" t="s">
        <v>49</v>
      </c>
      <c r="F4" t="s">
        <v>40</v>
      </c>
      <c r="G4" t="s">
        <v>1187</v>
      </c>
      <c r="H4" t="s">
        <v>1192</v>
      </c>
      <c r="I4" t="s">
        <v>47</v>
      </c>
      <c r="J4" t="s">
        <v>58</v>
      </c>
      <c r="K4">
        <v>2</v>
      </c>
      <c r="L4" t="s">
        <v>1189</v>
      </c>
      <c r="M4" t="s">
        <v>1190</v>
      </c>
      <c r="N4">
        <v>42</v>
      </c>
      <c r="O4" t="s">
        <v>653</v>
      </c>
      <c r="P4">
        <v>43106</v>
      </c>
      <c r="Q4">
        <v>5</v>
      </c>
      <c r="R4">
        <v>1</v>
      </c>
      <c r="S4" t="s">
        <v>647</v>
      </c>
      <c r="T4" t="s">
        <v>1191</v>
      </c>
      <c r="U4" t="s">
        <v>653</v>
      </c>
      <c r="V4" t="s">
        <v>1180</v>
      </c>
      <c r="W4" t="s">
        <v>1193</v>
      </c>
      <c r="X4">
        <v>3</v>
      </c>
    </row>
    <row r="5" spans="1:25" x14ac:dyDescent="0.25">
      <c r="A5">
        <v>4</v>
      </c>
      <c r="B5" t="s">
        <v>704</v>
      </c>
      <c r="C5" t="s">
        <v>30</v>
      </c>
      <c r="D5">
        <v>5</v>
      </c>
      <c r="E5" t="s">
        <v>27</v>
      </c>
      <c r="F5" t="s">
        <v>27</v>
      </c>
      <c r="G5" t="s">
        <v>1187</v>
      </c>
      <c r="H5" t="s">
        <v>1194</v>
      </c>
      <c r="I5" t="s">
        <v>53</v>
      </c>
      <c r="J5" t="s">
        <v>78</v>
      </c>
      <c r="K5">
        <v>8</v>
      </c>
      <c r="L5" t="s">
        <v>1189</v>
      </c>
      <c r="M5" t="s">
        <v>1190</v>
      </c>
      <c r="N5">
        <v>8</v>
      </c>
      <c r="O5" t="s">
        <v>653</v>
      </c>
      <c r="P5">
        <v>49668</v>
      </c>
      <c r="Q5">
        <v>5</v>
      </c>
      <c r="R5">
        <v>5</v>
      </c>
      <c r="S5" t="s">
        <v>653</v>
      </c>
      <c r="T5" t="s">
        <v>1191</v>
      </c>
      <c r="U5" t="s">
        <v>653</v>
      </c>
      <c r="V5" t="s">
        <v>1180</v>
      </c>
      <c r="W5" t="s">
        <v>1184</v>
      </c>
      <c r="X5">
        <v>3</v>
      </c>
    </row>
    <row r="6" spans="1:25" x14ac:dyDescent="0.25">
      <c r="A6">
        <v>5</v>
      </c>
      <c r="B6" t="s">
        <v>652</v>
      </c>
      <c r="C6" t="s">
        <v>30</v>
      </c>
      <c r="D6">
        <v>50</v>
      </c>
      <c r="E6" t="s">
        <v>27</v>
      </c>
      <c r="F6" t="s">
        <v>27</v>
      </c>
      <c r="G6" t="s">
        <v>1187</v>
      </c>
      <c r="H6" t="s">
        <v>1195</v>
      </c>
      <c r="I6" t="s">
        <v>58</v>
      </c>
      <c r="J6" t="s">
        <v>78</v>
      </c>
      <c r="K6">
        <v>7</v>
      </c>
      <c r="L6" t="s">
        <v>1189</v>
      </c>
      <c r="M6" t="s">
        <v>1190</v>
      </c>
      <c r="N6">
        <v>49</v>
      </c>
      <c r="O6" t="s">
        <v>647</v>
      </c>
      <c r="P6">
        <v>39212</v>
      </c>
      <c r="Q6">
        <v>1</v>
      </c>
      <c r="R6">
        <v>2</v>
      </c>
      <c r="S6" t="s">
        <v>653</v>
      </c>
      <c r="T6" t="s">
        <v>1191</v>
      </c>
      <c r="U6" t="s">
        <v>653</v>
      </c>
      <c r="V6" t="s">
        <v>1180</v>
      </c>
      <c r="W6" t="s">
        <v>1193</v>
      </c>
      <c r="X6">
        <v>3</v>
      </c>
    </row>
    <row r="7" spans="1:25" x14ac:dyDescent="0.25">
      <c r="A7">
        <v>6</v>
      </c>
      <c r="B7" t="s">
        <v>1196</v>
      </c>
      <c r="C7" t="s">
        <v>43</v>
      </c>
      <c r="D7">
        <v>78</v>
      </c>
      <c r="E7" t="s">
        <v>27</v>
      </c>
      <c r="F7" t="s">
        <v>40</v>
      </c>
      <c r="G7" t="s">
        <v>1197</v>
      </c>
      <c r="H7" t="s">
        <v>1198</v>
      </c>
      <c r="I7" t="s">
        <v>62</v>
      </c>
      <c r="J7" t="s">
        <v>65</v>
      </c>
      <c r="K7">
        <v>1</v>
      </c>
      <c r="L7" t="s">
        <v>1189</v>
      </c>
      <c r="M7" t="s">
        <v>1190</v>
      </c>
      <c r="N7">
        <v>14</v>
      </c>
      <c r="O7" t="s">
        <v>647</v>
      </c>
      <c r="P7">
        <v>31739</v>
      </c>
      <c r="Q7">
        <v>8</v>
      </c>
      <c r="R7">
        <v>2</v>
      </c>
      <c r="S7" t="s">
        <v>647</v>
      </c>
      <c r="T7" t="s">
        <v>1191</v>
      </c>
      <c r="U7" t="s">
        <v>647</v>
      </c>
      <c r="V7" t="s">
        <v>1180</v>
      </c>
      <c r="W7" t="s">
        <v>1193</v>
      </c>
      <c r="X7">
        <v>4</v>
      </c>
    </row>
    <row r="8" spans="1:25" x14ac:dyDescent="0.25">
      <c r="A8">
        <v>7</v>
      </c>
      <c r="B8" t="s">
        <v>1199</v>
      </c>
      <c r="C8" t="s">
        <v>43</v>
      </c>
      <c r="D8">
        <v>81</v>
      </c>
      <c r="E8" t="s">
        <v>27</v>
      </c>
      <c r="F8" t="s">
        <v>27</v>
      </c>
      <c r="G8" t="s">
        <v>1200</v>
      </c>
      <c r="H8" t="s">
        <v>1201</v>
      </c>
      <c r="I8" t="s">
        <v>65</v>
      </c>
      <c r="J8" t="s">
        <v>68</v>
      </c>
      <c r="K8">
        <v>1</v>
      </c>
      <c r="L8" t="s">
        <v>1189</v>
      </c>
      <c r="M8" t="s">
        <v>1190</v>
      </c>
      <c r="N8">
        <v>19</v>
      </c>
      <c r="O8" t="s">
        <v>653</v>
      </c>
      <c r="P8">
        <v>24642</v>
      </c>
      <c r="Q8">
        <v>8</v>
      </c>
      <c r="R8">
        <v>5</v>
      </c>
      <c r="S8" t="s">
        <v>647</v>
      </c>
      <c r="T8" t="s">
        <v>1191</v>
      </c>
      <c r="U8" t="s">
        <v>653</v>
      </c>
      <c r="V8" t="s">
        <v>46</v>
      </c>
      <c r="W8" t="s">
        <v>1193</v>
      </c>
      <c r="X8">
        <v>4</v>
      </c>
    </row>
    <row r="9" spans="1:25" x14ac:dyDescent="0.25">
      <c r="A9">
        <v>8</v>
      </c>
      <c r="B9" t="s">
        <v>1202</v>
      </c>
      <c r="C9" t="s">
        <v>30</v>
      </c>
      <c r="D9">
        <v>33</v>
      </c>
      <c r="E9" t="s">
        <v>27</v>
      </c>
      <c r="F9" t="s">
        <v>27</v>
      </c>
      <c r="G9" t="s">
        <v>1200</v>
      </c>
      <c r="H9" t="s">
        <v>1203</v>
      </c>
      <c r="I9" t="s">
        <v>68</v>
      </c>
      <c r="J9" t="s">
        <v>79</v>
      </c>
      <c r="K9">
        <v>5</v>
      </c>
      <c r="L9" t="s">
        <v>1189</v>
      </c>
      <c r="M9" t="s">
        <v>1190</v>
      </c>
      <c r="N9">
        <v>22</v>
      </c>
      <c r="O9" t="s">
        <v>647</v>
      </c>
      <c r="P9">
        <v>25409</v>
      </c>
      <c r="Q9">
        <v>4</v>
      </c>
      <c r="R9">
        <v>3</v>
      </c>
      <c r="S9" t="s">
        <v>647</v>
      </c>
      <c r="T9" t="s">
        <v>1191</v>
      </c>
      <c r="U9" t="s">
        <v>647</v>
      </c>
      <c r="V9" t="s">
        <v>1180</v>
      </c>
      <c r="W9" t="s">
        <v>1193</v>
      </c>
      <c r="X9">
        <v>5</v>
      </c>
    </row>
    <row r="10" spans="1:25" x14ac:dyDescent="0.25">
      <c r="A10">
        <v>9</v>
      </c>
      <c r="B10" t="s">
        <v>1204</v>
      </c>
      <c r="C10" t="s">
        <v>30</v>
      </c>
      <c r="D10">
        <v>61</v>
      </c>
      <c r="E10" t="s">
        <v>49</v>
      </c>
      <c r="F10" t="s">
        <v>27</v>
      </c>
      <c r="G10" t="s">
        <v>1187</v>
      </c>
      <c r="H10" t="s">
        <v>1205</v>
      </c>
      <c r="I10" t="s">
        <v>70</v>
      </c>
      <c r="J10" t="s">
        <v>78</v>
      </c>
      <c r="K10">
        <v>3</v>
      </c>
      <c r="L10" t="s">
        <v>1189</v>
      </c>
      <c r="M10" t="s">
        <v>1190</v>
      </c>
      <c r="N10">
        <v>27</v>
      </c>
      <c r="O10" t="s">
        <v>653</v>
      </c>
      <c r="P10">
        <v>21224</v>
      </c>
      <c r="Q10">
        <v>5</v>
      </c>
      <c r="R10">
        <v>2</v>
      </c>
      <c r="S10" t="s">
        <v>647</v>
      </c>
      <c r="T10" t="s">
        <v>1191</v>
      </c>
      <c r="U10" t="s">
        <v>647</v>
      </c>
      <c r="V10" t="s">
        <v>1180</v>
      </c>
      <c r="W10" t="s">
        <v>1193</v>
      </c>
      <c r="X10">
        <v>3</v>
      </c>
    </row>
    <row r="11" spans="1:25" x14ac:dyDescent="0.25">
      <c r="A11">
        <v>10</v>
      </c>
      <c r="B11" t="s">
        <v>1206</v>
      </c>
      <c r="C11" t="s">
        <v>43</v>
      </c>
      <c r="D11">
        <v>69</v>
      </c>
      <c r="E11" t="s">
        <v>27</v>
      </c>
      <c r="F11" t="s">
        <v>40</v>
      </c>
      <c r="G11" t="s">
        <v>1200</v>
      </c>
      <c r="H11" t="s">
        <v>1205</v>
      </c>
      <c r="I11" t="s">
        <v>72</v>
      </c>
      <c r="J11" t="s">
        <v>81</v>
      </c>
      <c r="K11">
        <v>4</v>
      </c>
      <c r="L11" t="s">
        <v>1189</v>
      </c>
      <c r="M11" t="s">
        <v>1190</v>
      </c>
      <c r="N11">
        <v>11</v>
      </c>
      <c r="O11" t="s">
        <v>653</v>
      </c>
      <c r="P11">
        <v>22663</v>
      </c>
      <c r="Q11">
        <v>8</v>
      </c>
      <c r="R11">
        <v>3</v>
      </c>
      <c r="S11" t="s">
        <v>653</v>
      </c>
      <c r="T11" t="s">
        <v>1191</v>
      </c>
      <c r="U11" t="s">
        <v>653</v>
      </c>
      <c r="V11" t="s">
        <v>1180</v>
      </c>
      <c r="W11" t="s">
        <v>1193</v>
      </c>
      <c r="X11">
        <v>4</v>
      </c>
    </row>
    <row r="12" spans="1:25" x14ac:dyDescent="0.25">
      <c r="A12">
        <v>11</v>
      </c>
      <c r="B12" t="s">
        <v>1207</v>
      </c>
      <c r="C12" t="s">
        <v>43</v>
      </c>
      <c r="D12">
        <v>5</v>
      </c>
      <c r="E12" t="s">
        <v>49</v>
      </c>
      <c r="F12" t="s">
        <v>27</v>
      </c>
      <c r="G12" t="s">
        <v>1197</v>
      </c>
      <c r="H12" t="s">
        <v>1208</v>
      </c>
      <c r="I12" t="s">
        <v>74</v>
      </c>
      <c r="J12" t="s">
        <v>84</v>
      </c>
      <c r="K12">
        <v>5</v>
      </c>
      <c r="L12" t="s">
        <v>1189</v>
      </c>
      <c r="M12" t="s">
        <v>1190</v>
      </c>
      <c r="N12">
        <v>26</v>
      </c>
      <c r="O12" t="s">
        <v>653</v>
      </c>
      <c r="P12">
        <v>21858</v>
      </c>
      <c r="Q12">
        <v>6</v>
      </c>
      <c r="R12">
        <v>0</v>
      </c>
      <c r="S12" t="s">
        <v>647</v>
      </c>
      <c r="T12" t="s">
        <v>1191</v>
      </c>
      <c r="U12" t="s">
        <v>653</v>
      </c>
      <c r="V12" t="s">
        <v>1180</v>
      </c>
      <c r="W12" t="s">
        <v>279</v>
      </c>
      <c r="X12">
        <v>3</v>
      </c>
    </row>
    <row r="13" spans="1:25" x14ac:dyDescent="0.25">
      <c r="A13">
        <v>12</v>
      </c>
      <c r="B13" t="s">
        <v>1209</v>
      </c>
      <c r="C13" t="s">
        <v>43</v>
      </c>
      <c r="D13">
        <v>44</v>
      </c>
      <c r="E13" t="s">
        <v>66</v>
      </c>
      <c r="F13" t="s">
        <v>49</v>
      </c>
      <c r="G13" t="s">
        <v>1200</v>
      </c>
      <c r="H13" t="s">
        <v>1201</v>
      </c>
      <c r="I13" t="s">
        <v>78</v>
      </c>
      <c r="J13" t="s">
        <v>81</v>
      </c>
      <c r="K13">
        <v>2</v>
      </c>
      <c r="L13" t="s">
        <v>1189</v>
      </c>
      <c r="M13" t="s">
        <v>1190</v>
      </c>
      <c r="N13">
        <v>43</v>
      </c>
      <c r="O13" t="s">
        <v>653</v>
      </c>
      <c r="P13">
        <v>30070</v>
      </c>
      <c r="Q13">
        <v>4</v>
      </c>
      <c r="R13">
        <v>5</v>
      </c>
      <c r="S13" t="s">
        <v>647</v>
      </c>
      <c r="T13" t="s">
        <v>1191</v>
      </c>
      <c r="U13" t="s">
        <v>647</v>
      </c>
      <c r="V13" t="s">
        <v>46</v>
      </c>
      <c r="W13" t="s">
        <v>1193</v>
      </c>
      <c r="X13">
        <v>3</v>
      </c>
    </row>
    <row r="14" spans="1:25" x14ac:dyDescent="0.25">
      <c r="A14">
        <v>13</v>
      </c>
      <c r="B14" t="s">
        <v>1210</v>
      </c>
      <c r="C14" t="s">
        <v>43</v>
      </c>
      <c r="D14">
        <v>3</v>
      </c>
      <c r="E14" t="s">
        <v>27</v>
      </c>
      <c r="F14" t="s">
        <v>27</v>
      </c>
      <c r="G14" t="s">
        <v>1197</v>
      </c>
      <c r="H14" t="s">
        <v>1211</v>
      </c>
      <c r="I14" t="s">
        <v>79</v>
      </c>
      <c r="J14" t="s">
        <v>83</v>
      </c>
      <c r="K14">
        <v>2</v>
      </c>
      <c r="L14" t="s">
        <v>1189</v>
      </c>
      <c r="M14" t="s">
        <v>1190</v>
      </c>
      <c r="N14">
        <v>35</v>
      </c>
      <c r="O14" t="s">
        <v>653</v>
      </c>
      <c r="P14">
        <v>47777</v>
      </c>
      <c r="Q14">
        <v>7</v>
      </c>
      <c r="R14">
        <v>4</v>
      </c>
      <c r="S14" t="s">
        <v>647</v>
      </c>
      <c r="T14" t="s">
        <v>1191</v>
      </c>
      <c r="U14" t="s">
        <v>647</v>
      </c>
      <c r="V14" t="s">
        <v>46</v>
      </c>
      <c r="W14" t="s">
        <v>1184</v>
      </c>
      <c r="X14">
        <v>4</v>
      </c>
    </row>
    <row r="15" spans="1:25" x14ac:dyDescent="0.25">
      <c r="A15">
        <v>14</v>
      </c>
      <c r="B15" t="s">
        <v>1212</v>
      </c>
      <c r="C15" t="s">
        <v>30</v>
      </c>
      <c r="D15">
        <v>43</v>
      </c>
      <c r="E15" t="s">
        <v>27</v>
      </c>
      <c r="F15" t="s">
        <v>40</v>
      </c>
      <c r="G15" t="s">
        <v>1187</v>
      </c>
      <c r="H15" t="s">
        <v>1213</v>
      </c>
      <c r="I15" t="s">
        <v>81</v>
      </c>
      <c r="J15" t="s">
        <v>91</v>
      </c>
      <c r="K15">
        <v>6</v>
      </c>
      <c r="L15" t="s">
        <v>1189</v>
      </c>
      <c r="M15" t="s">
        <v>1190</v>
      </c>
      <c r="N15">
        <v>3</v>
      </c>
      <c r="O15" t="s">
        <v>647</v>
      </c>
      <c r="P15">
        <v>8051</v>
      </c>
      <c r="Q15">
        <v>1</v>
      </c>
      <c r="R15">
        <v>4</v>
      </c>
      <c r="S15" t="s">
        <v>653</v>
      </c>
      <c r="T15" t="s">
        <v>1191</v>
      </c>
      <c r="U15" t="s">
        <v>653</v>
      </c>
      <c r="V15" t="s">
        <v>46</v>
      </c>
      <c r="W15" t="s">
        <v>1184</v>
      </c>
      <c r="X15">
        <v>4</v>
      </c>
    </row>
    <row r="16" spans="1:25" x14ac:dyDescent="0.25">
      <c r="A16">
        <v>15</v>
      </c>
      <c r="B16" t="s">
        <v>1214</v>
      </c>
      <c r="C16" t="s">
        <v>43</v>
      </c>
      <c r="D16">
        <v>23</v>
      </c>
      <c r="E16" t="s">
        <v>27</v>
      </c>
      <c r="F16" t="s">
        <v>49</v>
      </c>
      <c r="G16" t="s">
        <v>1197</v>
      </c>
      <c r="H16" t="s">
        <v>1215</v>
      </c>
      <c r="I16" t="s">
        <v>83</v>
      </c>
      <c r="J16" t="s">
        <v>88</v>
      </c>
      <c r="K16">
        <v>3</v>
      </c>
      <c r="L16" t="s">
        <v>1189</v>
      </c>
      <c r="M16" t="s">
        <v>1190</v>
      </c>
      <c r="N16">
        <v>41</v>
      </c>
      <c r="O16" t="s">
        <v>647</v>
      </c>
      <c r="P16">
        <v>15026</v>
      </c>
      <c r="Q16">
        <v>7</v>
      </c>
      <c r="R16">
        <v>3</v>
      </c>
      <c r="S16" t="s">
        <v>653</v>
      </c>
      <c r="T16" t="s">
        <v>1191</v>
      </c>
      <c r="U16" t="s">
        <v>647</v>
      </c>
      <c r="V16" t="s">
        <v>1180</v>
      </c>
      <c r="W16" t="s">
        <v>279</v>
      </c>
      <c r="X16">
        <v>5</v>
      </c>
    </row>
    <row r="17" spans="1:24" x14ac:dyDescent="0.25">
      <c r="A17">
        <v>16</v>
      </c>
      <c r="B17" t="s">
        <v>1216</v>
      </c>
      <c r="C17" t="s">
        <v>30</v>
      </c>
      <c r="D17">
        <v>70</v>
      </c>
      <c r="E17" t="s">
        <v>27</v>
      </c>
      <c r="F17" t="s">
        <v>49</v>
      </c>
      <c r="G17" t="s">
        <v>1197</v>
      </c>
      <c r="H17" t="s">
        <v>1217</v>
      </c>
      <c r="I17" t="s">
        <v>84</v>
      </c>
      <c r="J17" t="s">
        <v>88</v>
      </c>
      <c r="K17">
        <v>2</v>
      </c>
      <c r="L17" t="s">
        <v>1189</v>
      </c>
      <c r="M17" t="s">
        <v>1190</v>
      </c>
      <c r="N17">
        <v>4</v>
      </c>
      <c r="O17" t="s">
        <v>653</v>
      </c>
      <c r="P17">
        <v>34600</v>
      </c>
      <c r="Q17">
        <v>5</v>
      </c>
      <c r="R17">
        <v>2</v>
      </c>
      <c r="S17" t="s">
        <v>647</v>
      </c>
      <c r="T17" t="s">
        <v>1191</v>
      </c>
      <c r="U17" t="s">
        <v>647</v>
      </c>
      <c r="V17" t="s">
        <v>1180</v>
      </c>
      <c r="W17" t="s">
        <v>279</v>
      </c>
      <c r="X17">
        <v>4</v>
      </c>
    </row>
    <row r="18" spans="1:24" x14ac:dyDescent="0.25">
      <c r="A18">
        <v>17</v>
      </c>
      <c r="B18" t="s">
        <v>1218</v>
      </c>
      <c r="C18" t="s">
        <v>43</v>
      </c>
      <c r="D18">
        <v>62</v>
      </c>
      <c r="E18" t="s">
        <v>49</v>
      </c>
      <c r="F18" t="s">
        <v>27</v>
      </c>
      <c r="G18" t="s">
        <v>1197</v>
      </c>
      <c r="H18" t="s">
        <v>1215</v>
      </c>
      <c r="I18" t="s">
        <v>86</v>
      </c>
      <c r="J18" t="s">
        <v>91</v>
      </c>
      <c r="K18">
        <v>3</v>
      </c>
      <c r="L18" t="s">
        <v>1189</v>
      </c>
      <c r="M18" t="s">
        <v>1190</v>
      </c>
      <c r="N18">
        <v>14</v>
      </c>
      <c r="O18" t="s">
        <v>647</v>
      </c>
      <c r="P18">
        <v>4659</v>
      </c>
      <c r="Q18">
        <v>6</v>
      </c>
      <c r="R18">
        <v>5</v>
      </c>
      <c r="S18" t="s">
        <v>653</v>
      </c>
      <c r="T18" t="s">
        <v>1191</v>
      </c>
      <c r="U18" t="s">
        <v>653</v>
      </c>
      <c r="V18" t="s">
        <v>1180</v>
      </c>
      <c r="W18" t="s">
        <v>279</v>
      </c>
      <c r="X18">
        <v>3</v>
      </c>
    </row>
    <row r="19" spans="1:24" x14ac:dyDescent="0.25">
      <c r="A19">
        <v>18</v>
      </c>
      <c r="B19" t="s">
        <v>1219</v>
      </c>
      <c r="C19" t="s">
        <v>43</v>
      </c>
      <c r="D19">
        <v>47</v>
      </c>
      <c r="E19" t="s">
        <v>27</v>
      </c>
      <c r="F19" t="s">
        <v>27</v>
      </c>
      <c r="G19" t="s">
        <v>1197</v>
      </c>
      <c r="H19" t="s">
        <v>1220</v>
      </c>
      <c r="I19" t="s">
        <v>88</v>
      </c>
      <c r="J19" t="s">
        <v>104</v>
      </c>
      <c r="K19">
        <v>10</v>
      </c>
      <c r="L19" t="s">
        <v>1189</v>
      </c>
      <c r="M19" t="s">
        <v>1190</v>
      </c>
      <c r="N19">
        <v>18</v>
      </c>
      <c r="O19" t="s">
        <v>653</v>
      </c>
      <c r="P19">
        <v>22760</v>
      </c>
      <c r="Q19">
        <v>5</v>
      </c>
      <c r="R19">
        <v>1</v>
      </c>
      <c r="S19" t="s">
        <v>647</v>
      </c>
      <c r="T19" t="s">
        <v>1191</v>
      </c>
      <c r="U19" t="s">
        <v>647</v>
      </c>
      <c r="V19" t="s">
        <v>46</v>
      </c>
      <c r="W19" t="s">
        <v>1193</v>
      </c>
      <c r="X19">
        <v>5</v>
      </c>
    </row>
    <row r="20" spans="1:24" x14ac:dyDescent="0.25">
      <c r="A20">
        <v>19</v>
      </c>
      <c r="B20" t="s">
        <v>1221</v>
      </c>
      <c r="C20" t="s">
        <v>30</v>
      </c>
      <c r="D20">
        <v>34</v>
      </c>
      <c r="E20" t="s">
        <v>27</v>
      </c>
      <c r="F20" t="s">
        <v>27</v>
      </c>
      <c r="G20" t="s">
        <v>1187</v>
      </c>
      <c r="H20" t="s">
        <v>1222</v>
      </c>
      <c r="I20" t="s">
        <v>90</v>
      </c>
      <c r="J20" t="s">
        <v>106</v>
      </c>
      <c r="K20">
        <v>10</v>
      </c>
      <c r="L20" t="s">
        <v>1189</v>
      </c>
      <c r="M20" t="s">
        <v>1190</v>
      </c>
      <c r="N20">
        <v>34</v>
      </c>
      <c r="O20" t="s">
        <v>653</v>
      </c>
      <c r="P20">
        <v>9003</v>
      </c>
      <c r="Q20">
        <v>2</v>
      </c>
      <c r="R20">
        <v>0</v>
      </c>
      <c r="S20" t="s">
        <v>647</v>
      </c>
      <c r="T20" t="s">
        <v>1191</v>
      </c>
      <c r="U20" t="s">
        <v>653</v>
      </c>
      <c r="V20" t="s">
        <v>46</v>
      </c>
      <c r="W20" t="s">
        <v>1193</v>
      </c>
      <c r="X20">
        <v>4</v>
      </c>
    </row>
    <row r="21" spans="1:24" x14ac:dyDescent="0.25">
      <c r="A21">
        <v>20</v>
      </c>
      <c r="B21" t="s">
        <v>1223</v>
      </c>
      <c r="C21" t="s">
        <v>43</v>
      </c>
      <c r="D21">
        <v>14</v>
      </c>
      <c r="E21" t="s">
        <v>27</v>
      </c>
      <c r="F21" t="s">
        <v>49</v>
      </c>
      <c r="G21" t="s">
        <v>1200</v>
      </c>
      <c r="H21" t="s">
        <v>1194</v>
      </c>
      <c r="I21" t="s">
        <v>91</v>
      </c>
      <c r="J21" t="s">
        <v>100</v>
      </c>
      <c r="K21">
        <v>6</v>
      </c>
      <c r="L21" t="s">
        <v>1189</v>
      </c>
      <c r="M21" t="s">
        <v>1190</v>
      </c>
      <c r="N21">
        <v>3</v>
      </c>
      <c r="O21" t="s">
        <v>647</v>
      </c>
      <c r="P21">
        <v>8119</v>
      </c>
      <c r="Q21">
        <v>8</v>
      </c>
      <c r="R21">
        <v>3</v>
      </c>
      <c r="S21" t="s">
        <v>647</v>
      </c>
      <c r="T21" t="s">
        <v>1191</v>
      </c>
      <c r="U21" t="s">
        <v>653</v>
      </c>
      <c r="V21" t="s">
        <v>46</v>
      </c>
      <c r="W21" t="s">
        <v>1193</v>
      </c>
      <c r="X21">
        <v>3</v>
      </c>
    </row>
    <row r="22" spans="1:24" x14ac:dyDescent="0.25">
      <c r="A22">
        <v>21</v>
      </c>
      <c r="B22" t="s">
        <v>1224</v>
      </c>
      <c r="C22" t="s">
        <v>30</v>
      </c>
      <c r="D22">
        <v>60</v>
      </c>
      <c r="E22" t="s">
        <v>66</v>
      </c>
      <c r="F22" t="s">
        <v>40</v>
      </c>
      <c r="G22" t="s">
        <v>1187</v>
      </c>
      <c r="H22" t="s">
        <v>1203</v>
      </c>
      <c r="I22" t="s">
        <v>93</v>
      </c>
      <c r="J22" t="s">
        <v>98</v>
      </c>
      <c r="K22">
        <v>4</v>
      </c>
      <c r="L22" t="s">
        <v>1189</v>
      </c>
      <c r="M22" t="s">
        <v>1190</v>
      </c>
      <c r="N22">
        <v>37</v>
      </c>
      <c r="O22" t="s">
        <v>647</v>
      </c>
      <c r="P22">
        <v>43210</v>
      </c>
      <c r="Q22">
        <v>1</v>
      </c>
      <c r="R22">
        <v>1</v>
      </c>
      <c r="S22" t="s">
        <v>647</v>
      </c>
      <c r="T22" t="s">
        <v>1191</v>
      </c>
      <c r="U22" t="s">
        <v>647</v>
      </c>
      <c r="V22" t="s">
        <v>46</v>
      </c>
      <c r="W22" t="s">
        <v>1193</v>
      </c>
      <c r="X22">
        <v>3</v>
      </c>
    </row>
    <row r="23" spans="1:24" x14ac:dyDescent="0.25">
      <c r="A23">
        <v>22</v>
      </c>
      <c r="B23" t="s">
        <v>1225</v>
      </c>
      <c r="C23" t="s">
        <v>43</v>
      </c>
      <c r="D23">
        <v>34</v>
      </c>
      <c r="E23" t="s">
        <v>66</v>
      </c>
      <c r="F23" t="s">
        <v>49</v>
      </c>
      <c r="G23" t="s">
        <v>1197</v>
      </c>
      <c r="H23" t="s">
        <v>1215</v>
      </c>
      <c r="I23" t="s">
        <v>94</v>
      </c>
      <c r="J23" t="s">
        <v>104</v>
      </c>
      <c r="K23">
        <v>6</v>
      </c>
      <c r="L23" t="s">
        <v>1189</v>
      </c>
      <c r="M23" t="s">
        <v>1190</v>
      </c>
      <c r="N23">
        <v>12</v>
      </c>
      <c r="O23" t="s">
        <v>647</v>
      </c>
      <c r="P23">
        <v>32842</v>
      </c>
      <c r="Q23">
        <v>4</v>
      </c>
      <c r="R23">
        <v>5</v>
      </c>
      <c r="S23" t="s">
        <v>647</v>
      </c>
      <c r="T23" t="s">
        <v>1191</v>
      </c>
      <c r="U23" t="s">
        <v>647</v>
      </c>
      <c r="V23" t="s">
        <v>1180</v>
      </c>
      <c r="W23" t="s">
        <v>1184</v>
      </c>
      <c r="X23">
        <v>4</v>
      </c>
    </row>
    <row r="24" spans="1:24" x14ac:dyDescent="0.25">
      <c r="A24">
        <v>23</v>
      </c>
      <c r="B24" t="s">
        <v>1226</v>
      </c>
      <c r="C24" t="s">
        <v>30</v>
      </c>
      <c r="D24">
        <v>69</v>
      </c>
      <c r="E24" t="s">
        <v>27</v>
      </c>
      <c r="F24" t="s">
        <v>27</v>
      </c>
      <c r="G24" t="s">
        <v>1197</v>
      </c>
      <c r="H24" t="s">
        <v>1205</v>
      </c>
      <c r="I24" t="s">
        <v>95</v>
      </c>
      <c r="J24" t="s">
        <v>98</v>
      </c>
      <c r="K24">
        <v>2</v>
      </c>
      <c r="L24" t="s">
        <v>1189</v>
      </c>
      <c r="M24" t="s">
        <v>1190</v>
      </c>
      <c r="N24">
        <v>25</v>
      </c>
      <c r="O24" t="s">
        <v>653</v>
      </c>
      <c r="P24">
        <v>34387</v>
      </c>
      <c r="Q24">
        <v>6</v>
      </c>
      <c r="R24">
        <v>0</v>
      </c>
      <c r="S24" t="s">
        <v>653</v>
      </c>
      <c r="T24" t="s">
        <v>1191</v>
      </c>
      <c r="U24" t="s">
        <v>647</v>
      </c>
      <c r="V24" t="s">
        <v>1180</v>
      </c>
      <c r="W24" t="s">
        <v>1193</v>
      </c>
      <c r="X24">
        <v>5</v>
      </c>
    </row>
    <row r="25" spans="1:24" x14ac:dyDescent="0.25">
      <c r="A25">
        <v>24</v>
      </c>
      <c r="B25" t="s">
        <v>1227</v>
      </c>
      <c r="C25" t="s">
        <v>30</v>
      </c>
      <c r="D25">
        <v>28</v>
      </c>
      <c r="E25" t="s">
        <v>27</v>
      </c>
      <c r="F25" t="s">
        <v>27</v>
      </c>
      <c r="G25" t="s">
        <v>1197</v>
      </c>
      <c r="H25" t="s">
        <v>1211</v>
      </c>
      <c r="I25" t="s">
        <v>96</v>
      </c>
      <c r="J25" t="s">
        <v>104</v>
      </c>
      <c r="K25">
        <v>4</v>
      </c>
      <c r="L25" t="s">
        <v>1189</v>
      </c>
      <c r="M25" t="s">
        <v>1190</v>
      </c>
      <c r="N25">
        <v>47</v>
      </c>
      <c r="O25" t="s">
        <v>647</v>
      </c>
      <c r="P25">
        <v>9342</v>
      </c>
      <c r="Q25">
        <v>3</v>
      </c>
      <c r="R25">
        <v>2</v>
      </c>
      <c r="S25" t="s">
        <v>653</v>
      </c>
      <c r="T25" t="s">
        <v>1191</v>
      </c>
      <c r="U25" t="s">
        <v>653</v>
      </c>
      <c r="V25" t="s">
        <v>46</v>
      </c>
      <c r="W25" t="s">
        <v>1193</v>
      </c>
      <c r="X25">
        <v>4</v>
      </c>
    </row>
    <row r="26" spans="1:24" x14ac:dyDescent="0.25">
      <c r="A26">
        <v>25</v>
      </c>
      <c r="B26" t="s">
        <v>1228</v>
      </c>
      <c r="C26" t="s">
        <v>43</v>
      </c>
      <c r="D26">
        <v>72</v>
      </c>
      <c r="E26" t="s">
        <v>27</v>
      </c>
      <c r="F26" t="s">
        <v>27</v>
      </c>
      <c r="G26" t="s">
        <v>1200</v>
      </c>
      <c r="H26" t="s">
        <v>1195</v>
      </c>
      <c r="I26" t="s">
        <v>98</v>
      </c>
      <c r="J26" t="s">
        <v>102</v>
      </c>
      <c r="K26">
        <v>2</v>
      </c>
      <c r="L26" t="s">
        <v>1189</v>
      </c>
      <c r="M26" t="s">
        <v>1190</v>
      </c>
      <c r="N26">
        <v>19</v>
      </c>
      <c r="O26" t="s">
        <v>647</v>
      </c>
      <c r="P26">
        <v>3977</v>
      </c>
      <c r="Q26">
        <v>3</v>
      </c>
      <c r="R26">
        <v>5</v>
      </c>
      <c r="S26" t="s">
        <v>647</v>
      </c>
      <c r="T26" t="s">
        <v>1191</v>
      </c>
      <c r="U26" t="s">
        <v>647</v>
      </c>
      <c r="V26" t="s">
        <v>1180</v>
      </c>
      <c r="W26" t="s">
        <v>1184</v>
      </c>
      <c r="X26">
        <v>4</v>
      </c>
    </row>
    <row r="27" spans="1:24" x14ac:dyDescent="0.25">
      <c r="A27">
        <v>26</v>
      </c>
      <c r="B27" t="s">
        <v>1229</v>
      </c>
      <c r="C27" t="s">
        <v>43</v>
      </c>
      <c r="D27">
        <v>38</v>
      </c>
      <c r="E27" t="s">
        <v>27</v>
      </c>
      <c r="F27" t="s">
        <v>49</v>
      </c>
      <c r="G27" t="s">
        <v>1187</v>
      </c>
      <c r="H27" t="s">
        <v>1203</v>
      </c>
      <c r="I27" t="s">
        <v>100</v>
      </c>
      <c r="J27" t="s">
        <v>116</v>
      </c>
      <c r="K27">
        <v>9</v>
      </c>
      <c r="L27" t="s">
        <v>1189</v>
      </c>
      <c r="M27" t="s">
        <v>1190</v>
      </c>
      <c r="N27">
        <v>18</v>
      </c>
      <c r="O27" t="s">
        <v>653</v>
      </c>
      <c r="P27">
        <v>47256</v>
      </c>
      <c r="Q27">
        <v>1</v>
      </c>
      <c r="R27">
        <v>2</v>
      </c>
      <c r="S27" t="s">
        <v>647</v>
      </c>
      <c r="T27" t="s">
        <v>1191</v>
      </c>
      <c r="U27" t="s">
        <v>653</v>
      </c>
      <c r="V27" t="s">
        <v>1180</v>
      </c>
      <c r="W27" t="s">
        <v>1184</v>
      </c>
      <c r="X27">
        <v>3</v>
      </c>
    </row>
    <row r="28" spans="1:24" x14ac:dyDescent="0.25">
      <c r="A28">
        <v>27</v>
      </c>
      <c r="B28" t="s">
        <v>1230</v>
      </c>
      <c r="C28" t="s">
        <v>30</v>
      </c>
      <c r="D28">
        <v>12</v>
      </c>
      <c r="E28" t="s">
        <v>27</v>
      </c>
      <c r="F28" t="s">
        <v>27</v>
      </c>
      <c r="G28" t="s">
        <v>1200</v>
      </c>
      <c r="H28" t="s">
        <v>1220</v>
      </c>
      <c r="I28" t="s">
        <v>102</v>
      </c>
      <c r="J28" t="s">
        <v>108</v>
      </c>
      <c r="K28">
        <v>3</v>
      </c>
      <c r="L28" t="s">
        <v>1189</v>
      </c>
      <c r="M28" t="s">
        <v>1190</v>
      </c>
      <c r="N28">
        <v>47</v>
      </c>
      <c r="O28" t="s">
        <v>653</v>
      </c>
      <c r="P28">
        <v>9055</v>
      </c>
      <c r="Q28">
        <v>2</v>
      </c>
      <c r="R28">
        <v>4</v>
      </c>
      <c r="S28" t="s">
        <v>647</v>
      </c>
      <c r="T28" t="s">
        <v>1191</v>
      </c>
      <c r="U28" t="s">
        <v>647</v>
      </c>
      <c r="V28" t="s">
        <v>46</v>
      </c>
      <c r="W28" t="s">
        <v>1184</v>
      </c>
      <c r="X28">
        <v>4</v>
      </c>
    </row>
    <row r="29" spans="1:24" x14ac:dyDescent="0.25">
      <c r="A29">
        <v>28</v>
      </c>
      <c r="B29" t="s">
        <v>1231</v>
      </c>
      <c r="C29" t="s">
        <v>30</v>
      </c>
      <c r="D29">
        <v>46</v>
      </c>
      <c r="E29" t="s">
        <v>27</v>
      </c>
      <c r="F29" t="s">
        <v>49</v>
      </c>
      <c r="G29" t="s">
        <v>1187</v>
      </c>
      <c r="H29" t="s">
        <v>1188</v>
      </c>
      <c r="I29" t="s">
        <v>104</v>
      </c>
      <c r="J29" t="s">
        <v>108</v>
      </c>
      <c r="K29">
        <v>2</v>
      </c>
      <c r="L29" t="s">
        <v>1189</v>
      </c>
      <c r="M29" t="s">
        <v>1190</v>
      </c>
      <c r="N29">
        <v>28</v>
      </c>
      <c r="O29" t="s">
        <v>653</v>
      </c>
      <c r="P29">
        <v>35576</v>
      </c>
      <c r="Q29">
        <v>7</v>
      </c>
      <c r="R29">
        <v>1</v>
      </c>
      <c r="S29" t="s">
        <v>653</v>
      </c>
      <c r="T29" t="s">
        <v>1191</v>
      </c>
      <c r="U29" t="s">
        <v>647</v>
      </c>
      <c r="V29" t="s">
        <v>46</v>
      </c>
      <c r="W29" t="s">
        <v>1184</v>
      </c>
      <c r="X29">
        <v>3</v>
      </c>
    </row>
    <row r="30" spans="1:24" x14ac:dyDescent="0.25">
      <c r="A30">
        <v>29</v>
      </c>
      <c r="B30" t="s">
        <v>1232</v>
      </c>
      <c r="C30" t="s">
        <v>30</v>
      </c>
      <c r="D30">
        <v>67</v>
      </c>
      <c r="E30" t="s">
        <v>27</v>
      </c>
      <c r="F30" t="s">
        <v>27</v>
      </c>
      <c r="G30" t="s">
        <v>1200</v>
      </c>
      <c r="H30" t="s">
        <v>1233</v>
      </c>
      <c r="I30" t="s">
        <v>106</v>
      </c>
      <c r="J30" t="s">
        <v>108</v>
      </c>
      <c r="K30">
        <v>1</v>
      </c>
      <c r="L30" t="s">
        <v>1189</v>
      </c>
      <c r="M30" t="s">
        <v>1190</v>
      </c>
      <c r="N30">
        <v>45</v>
      </c>
      <c r="O30" t="s">
        <v>647</v>
      </c>
      <c r="P30">
        <v>21399</v>
      </c>
      <c r="Q30">
        <v>5</v>
      </c>
      <c r="R30">
        <v>2</v>
      </c>
      <c r="S30" t="s">
        <v>653</v>
      </c>
      <c r="T30" t="s">
        <v>1191</v>
      </c>
      <c r="U30" t="s">
        <v>653</v>
      </c>
      <c r="V30" t="s">
        <v>46</v>
      </c>
      <c r="W30" t="s">
        <v>1184</v>
      </c>
      <c r="X30">
        <v>3</v>
      </c>
    </row>
    <row r="31" spans="1:24" x14ac:dyDescent="0.25">
      <c r="A31">
        <v>30</v>
      </c>
      <c r="B31" t="s">
        <v>1234</v>
      </c>
      <c r="C31" t="s">
        <v>30</v>
      </c>
      <c r="D31">
        <v>53</v>
      </c>
      <c r="E31" t="s">
        <v>66</v>
      </c>
      <c r="F31" t="s">
        <v>27</v>
      </c>
      <c r="G31" t="s">
        <v>1197</v>
      </c>
      <c r="H31" t="s">
        <v>1198</v>
      </c>
      <c r="I31" t="s">
        <v>108</v>
      </c>
      <c r="J31" t="s">
        <v>113</v>
      </c>
      <c r="K31">
        <v>3</v>
      </c>
      <c r="L31" t="s">
        <v>1189</v>
      </c>
      <c r="M31" t="s">
        <v>1190</v>
      </c>
      <c r="N31">
        <v>49</v>
      </c>
      <c r="O31" t="s">
        <v>653</v>
      </c>
      <c r="P31">
        <v>17440</v>
      </c>
      <c r="Q31">
        <v>6</v>
      </c>
      <c r="R31">
        <v>2</v>
      </c>
      <c r="S31" t="s">
        <v>647</v>
      </c>
      <c r="T31" t="s">
        <v>1191</v>
      </c>
      <c r="U31" t="s">
        <v>647</v>
      </c>
      <c r="V31" t="s">
        <v>1180</v>
      </c>
      <c r="W31" t="s">
        <v>1193</v>
      </c>
      <c r="X31">
        <v>4</v>
      </c>
    </row>
    <row r="32" spans="1:24" x14ac:dyDescent="0.25">
      <c r="A32">
        <v>31</v>
      </c>
      <c r="B32" t="s">
        <v>1235</v>
      </c>
      <c r="C32" t="s">
        <v>43</v>
      </c>
      <c r="D32">
        <v>41</v>
      </c>
      <c r="E32" t="s">
        <v>27</v>
      </c>
      <c r="F32" t="s">
        <v>40</v>
      </c>
      <c r="G32" t="s">
        <v>1200</v>
      </c>
      <c r="H32" t="s">
        <v>1192</v>
      </c>
      <c r="I32" t="s">
        <v>110</v>
      </c>
      <c r="J32" t="s">
        <v>120</v>
      </c>
      <c r="K32">
        <v>6</v>
      </c>
      <c r="L32" t="s">
        <v>1189</v>
      </c>
      <c r="M32" t="s">
        <v>1190</v>
      </c>
      <c r="N32">
        <v>27</v>
      </c>
      <c r="O32" t="s">
        <v>647</v>
      </c>
      <c r="P32">
        <v>17430</v>
      </c>
      <c r="Q32">
        <v>4</v>
      </c>
      <c r="R32">
        <v>2</v>
      </c>
      <c r="S32" t="s">
        <v>653</v>
      </c>
      <c r="T32" t="s">
        <v>1191</v>
      </c>
      <c r="U32" t="s">
        <v>647</v>
      </c>
      <c r="V32" t="s">
        <v>46</v>
      </c>
      <c r="W32" t="s">
        <v>1193</v>
      </c>
      <c r="X32">
        <v>3</v>
      </c>
    </row>
    <row r="33" spans="1:24" x14ac:dyDescent="0.25">
      <c r="A33">
        <v>32</v>
      </c>
      <c r="B33" t="s">
        <v>1236</v>
      </c>
      <c r="C33" t="s">
        <v>30</v>
      </c>
      <c r="D33">
        <v>21</v>
      </c>
      <c r="E33" t="s">
        <v>49</v>
      </c>
      <c r="F33" t="s">
        <v>40</v>
      </c>
      <c r="G33" t="s">
        <v>1187</v>
      </c>
      <c r="H33" t="s">
        <v>1217</v>
      </c>
      <c r="I33" t="s">
        <v>111</v>
      </c>
      <c r="J33" t="s">
        <v>128</v>
      </c>
      <c r="K33">
        <v>9</v>
      </c>
      <c r="L33" t="s">
        <v>1189</v>
      </c>
      <c r="M33" t="s">
        <v>1190</v>
      </c>
      <c r="N33">
        <v>44</v>
      </c>
      <c r="O33" t="s">
        <v>647</v>
      </c>
      <c r="P33">
        <v>43235</v>
      </c>
      <c r="Q33">
        <v>5</v>
      </c>
      <c r="R33">
        <v>0</v>
      </c>
      <c r="S33" t="s">
        <v>653</v>
      </c>
      <c r="T33" t="s">
        <v>1191</v>
      </c>
      <c r="U33" t="s">
        <v>647</v>
      </c>
      <c r="V33" t="s">
        <v>46</v>
      </c>
      <c r="W33" t="s">
        <v>279</v>
      </c>
      <c r="X33">
        <v>3</v>
      </c>
    </row>
    <row r="34" spans="1:24" x14ac:dyDescent="0.25">
      <c r="A34">
        <v>33</v>
      </c>
      <c r="B34" t="s">
        <v>1237</v>
      </c>
      <c r="C34" t="s">
        <v>30</v>
      </c>
      <c r="D34">
        <v>27</v>
      </c>
      <c r="E34" t="s">
        <v>66</v>
      </c>
      <c r="F34" t="s">
        <v>49</v>
      </c>
      <c r="G34" t="s">
        <v>1187</v>
      </c>
      <c r="H34" t="s">
        <v>1205</v>
      </c>
      <c r="I34" t="s">
        <v>113</v>
      </c>
      <c r="J34" t="s">
        <v>126</v>
      </c>
      <c r="K34">
        <v>7</v>
      </c>
      <c r="L34" t="s">
        <v>1189</v>
      </c>
      <c r="M34" t="s">
        <v>1190</v>
      </c>
      <c r="N34">
        <v>31</v>
      </c>
      <c r="O34" t="s">
        <v>647</v>
      </c>
      <c r="P34">
        <v>47278</v>
      </c>
      <c r="Q34">
        <v>5</v>
      </c>
      <c r="R34">
        <v>5</v>
      </c>
      <c r="S34" t="s">
        <v>647</v>
      </c>
      <c r="T34" t="s">
        <v>1191</v>
      </c>
      <c r="U34" t="s">
        <v>653</v>
      </c>
      <c r="V34" t="s">
        <v>46</v>
      </c>
      <c r="W34" t="s">
        <v>1193</v>
      </c>
      <c r="X34">
        <v>3</v>
      </c>
    </row>
    <row r="35" spans="1:24" x14ac:dyDescent="0.25">
      <c r="A35">
        <v>34</v>
      </c>
      <c r="B35" t="s">
        <v>1238</v>
      </c>
      <c r="C35" t="s">
        <v>43</v>
      </c>
      <c r="D35">
        <v>49</v>
      </c>
      <c r="E35" t="s">
        <v>49</v>
      </c>
      <c r="F35" t="s">
        <v>27</v>
      </c>
      <c r="G35" t="s">
        <v>1187</v>
      </c>
      <c r="H35" t="s">
        <v>1239</v>
      </c>
      <c r="I35" t="s">
        <v>114</v>
      </c>
      <c r="J35" t="s">
        <v>118</v>
      </c>
      <c r="K35">
        <v>2</v>
      </c>
      <c r="L35" t="s">
        <v>1189</v>
      </c>
      <c r="M35" t="s">
        <v>1190</v>
      </c>
      <c r="N35">
        <v>30</v>
      </c>
      <c r="O35" t="s">
        <v>653</v>
      </c>
      <c r="P35">
        <v>11037</v>
      </c>
      <c r="Q35">
        <v>3</v>
      </c>
      <c r="R35">
        <v>1</v>
      </c>
      <c r="S35" t="s">
        <v>653</v>
      </c>
      <c r="T35" t="s">
        <v>1191</v>
      </c>
      <c r="U35" t="s">
        <v>647</v>
      </c>
      <c r="V35" t="s">
        <v>1180</v>
      </c>
      <c r="W35" t="s">
        <v>1193</v>
      </c>
      <c r="X35">
        <v>5</v>
      </c>
    </row>
    <row r="36" spans="1:24" x14ac:dyDescent="0.25">
      <c r="A36">
        <v>35</v>
      </c>
      <c r="B36" t="s">
        <v>1240</v>
      </c>
      <c r="C36" t="s">
        <v>43</v>
      </c>
      <c r="D36">
        <v>6</v>
      </c>
      <c r="E36" t="s">
        <v>49</v>
      </c>
      <c r="F36" t="s">
        <v>40</v>
      </c>
      <c r="G36" t="s">
        <v>1187</v>
      </c>
      <c r="H36" t="s">
        <v>1220</v>
      </c>
      <c r="I36" t="s">
        <v>116</v>
      </c>
      <c r="J36" t="s">
        <v>130</v>
      </c>
      <c r="K36">
        <v>7</v>
      </c>
      <c r="L36" t="s">
        <v>1189</v>
      </c>
      <c r="M36" t="s">
        <v>1190</v>
      </c>
      <c r="N36">
        <v>7</v>
      </c>
      <c r="O36" t="s">
        <v>653</v>
      </c>
      <c r="P36">
        <v>21724</v>
      </c>
      <c r="Q36">
        <v>1</v>
      </c>
      <c r="R36">
        <v>5</v>
      </c>
      <c r="S36" t="s">
        <v>647</v>
      </c>
      <c r="T36" t="s">
        <v>1191</v>
      </c>
      <c r="U36" t="s">
        <v>647</v>
      </c>
      <c r="V36" t="s">
        <v>1180</v>
      </c>
      <c r="W36" t="s">
        <v>279</v>
      </c>
      <c r="X36">
        <v>4</v>
      </c>
    </row>
    <row r="37" spans="1:24" x14ac:dyDescent="0.25">
      <c r="A37">
        <v>36</v>
      </c>
      <c r="B37" t="s">
        <v>1241</v>
      </c>
      <c r="C37" t="s">
        <v>43</v>
      </c>
      <c r="D37">
        <v>78</v>
      </c>
      <c r="E37" t="s">
        <v>27</v>
      </c>
      <c r="F37" t="s">
        <v>49</v>
      </c>
      <c r="G37" t="s">
        <v>1187</v>
      </c>
      <c r="H37" t="s">
        <v>1239</v>
      </c>
      <c r="I37" t="s">
        <v>118</v>
      </c>
      <c r="J37" t="s">
        <v>136</v>
      </c>
      <c r="K37">
        <v>10</v>
      </c>
      <c r="L37" t="s">
        <v>1189</v>
      </c>
      <c r="M37" t="s">
        <v>1190</v>
      </c>
      <c r="N37">
        <v>24</v>
      </c>
      <c r="O37" t="s">
        <v>647</v>
      </c>
      <c r="P37">
        <v>38013</v>
      </c>
      <c r="Q37">
        <v>5</v>
      </c>
      <c r="R37">
        <v>3</v>
      </c>
      <c r="S37" t="s">
        <v>653</v>
      </c>
      <c r="T37" t="s">
        <v>1191</v>
      </c>
      <c r="U37" t="s">
        <v>647</v>
      </c>
      <c r="V37" t="s">
        <v>46</v>
      </c>
      <c r="W37" t="s">
        <v>279</v>
      </c>
      <c r="X37">
        <v>4</v>
      </c>
    </row>
    <row r="38" spans="1:24" x14ac:dyDescent="0.25">
      <c r="A38">
        <v>37</v>
      </c>
      <c r="B38" t="s">
        <v>1242</v>
      </c>
      <c r="C38" t="s">
        <v>30</v>
      </c>
      <c r="D38">
        <v>34</v>
      </c>
      <c r="E38" t="s">
        <v>49</v>
      </c>
      <c r="F38" t="s">
        <v>40</v>
      </c>
      <c r="G38" t="s">
        <v>1200</v>
      </c>
      <c r="H38" t="s">
        <v>1243</v>
      </c>
      <c r="I38" t="s">
        <v>120</v>
      </c>
      <c r="J38" t="s">
        <v>122</v>
      </c>
      <c r="K38">
        <v>1</v>
      </c>
      <c r="L38" t="s">
        <v>1189</v>
      </c>
      <c r="M38" t="s">
        <v>1190</v>
      </c>
      <c r="N38">
        <v>7</v>
      </c>
      <c r="O38" t="s">
        <v>653</v>
      </c>
      <c r="P38">
        <v>30101</v>
      </c>
      <c r="Q38">
        <v>5</v>
      </c>
      <c r="R38">
        <v>5</v>
      </c>
      <c r="S38" t="s">
        <v>653</v>
      </c>
      <c r="T38" t="s">
        <v>1191</v>
      </c>
      <c r="U38" t="s">
        <v>653</v>
      </c>
      <c r="V38" t="s">
        <v>1180</v>
      </c>
      <c r="W38" t="s">
        <v>279</v>
      </c>
      <c r="X38">
        <v>4</v>
      </c>
    </row>
    <row r="39" spans="1:24" x14ac:dyDescent="0.25">
      <c r="A39">
        <v>38</v>
      </c>
      <c r="B39" t="s">
        <v>1244</v>
      </c>
      <c r="C39" t="s">
        <v>30</v>
      </c>
      <c r="D39">
        <v>67</v>
      </c>
      <c r="E39" t="s">
        <v>66</v>
      </c>
      <c r="F39" t="s">
        <v>27</v>
      </c>
      <c r="G39" t="s">
        <v>1200</v>
      </c>
      <c r="H39" t="s">
        <v>1211</v>
      </c>
      <c r="I39" t="s">
        <v>122</v>
      </c>
      <c r="J39" t="s">
        <v>130</v>
      </c>
      <c r="K39">
        <v>4</v>
      </c>
      <c r="L39" t="s">
        <v>1189</v>
      </c>
      <c r="M39" t="s">
        <v>1190</v>
      </c>
      <c r="N39">
        <v>24</v>
      </c>
      <c r="O39" t="s">
        <v>653</v>
      </c>
      <c r="P39">
        <v>12358</v>
      </c>
      <c r="Q39">
        <v>3</v>
      </c>
      <c r="R39">
        <v>2</v>
      </c>
      <c r="S39" t="s">
        <v>647</v>
      </c>
      <c r="T39" t="s">
        <v>1191</v>
      </c>
      <c r="U39" t="s">
        <v>653</v>
      </c>
      <c r="V39" t="s">
        <v>46</v>
      </c>
      <c r="W39" t="s">
        <v>1184</v>
      </c>
      <c r="X39">
        <v>3</v>
      </c>
    </row>
    <row r="40" spans="1:24" x14ac:dyDescent="0.25">
      <c r="A40">
        <v>39</v>
      </c>
      <c r="B40" t="s">
        <v>1245</v>
      </c>
      <c r="C40" t="s">
        <v>43</v>
      </c>
      <c r="D40">
        <v>23</v>
      </c>
      <c r="E40" t="s">
        <v>49</v>
      </c>
      <c r="F40" t="s">
        <v>49</v>
      </c>
      <c r="G40" t="s">
        <v>1197</v>
      </c>
      <c r="H40" t="s">
        <v>1215</v>
      </c>
      <c r="I40" t="s">
        <v>124</v>
      </c>
      <c r="J40" t="s">
        <v>137</v>
      </c>
      <c r="K40">
        <v>8</v>
      </c>
      <c r="L40" t="s">
        <v>1189</v>
      </c>
      <c r="M40" t="s">
        <v>1190</v>
      </c>
      <c r="N40">
        <v>3</v>
      </c>
      <c r="O40" t="s">
        <v>653</v>
      </c>
      <c r="P40">
        <v>30874</v>
      </c>
      <c r="Q40">
        <v>8</v>
      </c>
      <c r="R40">
        <v>4</v>
      </c>
      <c r="S40" t="s">
        <v>653</v>
      </c>
      <c r="T40" t="s">
        <v>1191</v>
      </c>
      <c r="U40" t="s">
        <v>647</v>
      </c>
      <c r="V40" t="s">
        <v>46</v>
      </c>
      <c r="W40" t="s">
        <v>279</v>
      </c>
      <c r="X40">
        <v>3</v>
      </c>
    </row>
    <row r="41" spans="1:24" x14ac:dyDescent="0.25">
      <c r="A41">
        <v>40</v>
      </c>
      <c r="B41" t="s">
        <v>1246</v>
      </c>
      <c r="C41" t="s">
        <v>30</v>
      </c>
      <c r="D41">
        <v>71</v>
      </c>
      <c r="E41" t="s">
        <v>49</v>
      </c>
      <c r="F41" t="s">
        <v>49</v>
      </c>
      <c r="G41" t="s">
        <v>1197</v>
      </c>
      <c r="H41" t="s">
        <v>1203</v>
      </c>
      <c r="I41" t="s">
        <v>126</v>
      </c>
      <c r="J41" t="s">
        <v>139</v>
      </c>
      <c r="K41">
        <v>8</v>
      </c>
      <c r="L41" t="s">
        <v>1189</v>
      </c>
      <c r="M41" t="s">
        <v>1190</v>
      </c>
      <c r="N41">
        <v>24</v>
      </c>
      <c r="O41" t="s">
        <v>653</v>
      </c>
      <c r="P41">
        <v>23603</v>
      </c>
      <c r="Q41">
        <v>4</v>
      </c>
      <c r="R41">
        <v>1</v>
      </c>
      <c r="S41" t="s">
        <v>647</v>
      </c>
      <c r="T41" t="s">
        <v>1191</v>
      </c>
      <c r="U41" t="s">
        <v>647</v>
      </c>
      <c r="V41" t="s">
        <v>46</v>
      </c>
      <c r="W41" t="s">
        <v>1193</v>
      </c>
      <c r="X41">
        <v>4</v>
      </c>
    </row>
    <row r="42" spans="1:24" x14ac:dyDescent="0.25">
      <c r="A42">
        <v>41</v>
      </c>
      <c r="B42" t="s">
        <v>1247</v>
      </c>
      <c r="C42" t="s">
        <v>43</v>
      </c>
      <c r="D42">
        <v>82</v>
      </c>
      <c r="E42" t="s">
        <v>66</v>
      </c>
      <c r="F42" t="s">
        <v>49</v>
      </c>
      <c r="G42" t="s">
        <v>1187</v>
      </c>
      <c r="H42" t="s">
        <v>1220</v>
      </c>
      <c r="I42" t="s">
        <v>128</v>
      </c>
      <c r="J42" t="s">
        <v>136</v>
      </c>
      <c r="K42">
        <v>5</v>
      </c>
      <c r="L42" t="s">
        <v>1189</v>
      </c>
      <c r="M42" t="s">
        <v>1190</v>
      </c>
      <c r="N42">
        <v>12</v>
      </c>
      <c r="O42" t="s">
        <v>653</v>
      </c>
      <c r="P42">
        <v>42672</v>
      </c>
      <c r="Q42">
        <v>3</v>
      </c>
      <c r="R42">
        <v>5</v>
      </c>
      <c r="S42" t="s">
        <v>653</v>
      </c>
      <c r="T42" t="s">
        <v>1191</v>
      </c>
      <c r="U42" t="s">
        <v>647</v>
      </c>
      <c r="V42" t="s">
        <v>1180</v>
      </c>
      <c r="W42" t="s">
        <v>1184</v>
      </c>
      <c r="X42">
        <v>4</v>
      </c>
    </row>
    <row r="43" spans="1:24" x14ac:dyDescent="0.25">
      <c r="A43">
        <v>42</v>
      </c>
      <c r="B43" t="s">
        <v>1248</v>
      </c>
      <c r="C43" t="s">
        <v>30</v>
      </c>
      <c r="D43">
        <v>66</v>
      </c>
      <c r="E43" t="s">
        <v>27</v>
      </c>
      <c r="F43" t="s">
        <v>27</v>
      </c>
      <c r="G43" t="s">
        <v>1197</v>
      </c>
      <c r="H43" t="s">
        <v>1249</v>
      </c>
      <c r="I43" t="s">
        <v>130</v>
      </c>
      <c r="J43" t="s">
        <v>139</v>
      </c>
      <c r="K43">
        <v>6</v>
      </c>
      <c r="L43" t="s">
        <v>1189</v>
      </c>
      <c r="M43" t="s">
        <v>1190</v>
      </c>
      <c r="N43">
        <v>45</v>
      </c>
      <c r="O43" t="s">
        <v>647</v>
      </c>
      <c r="P43">
        <v>9732</v>
      </c>
      <c r="Q43">
        <v>6</v>
      </c>
      <c r="R43">
        <v>1</v>
      </c>
      <c r="S43" t="s">
        <v>653</v>
      </c>
      <c r="T43" t="s">
        <v>1191</v>
      </c>
      <c r="U43" t="s">
        <v>647</v>
      </c>
      <c r="V43" t="s">
        <v>46</v>
      </c>
      <c r="W43" t="s">
        <v>279</v>
      </c>
      <c r="X43">
        <v>5</v>
      </c>
    </row>
    <row r="44" spans="1:24" x14ac:dyDescent="0.25">
      <c r="A44">
        <v>43</v>
      </c>
      <c r="B44" t="s">
        <v>1250</v>
      </c>
      <c r="C44" t="s">
        <v>43</v>
      </c>
      <c r="D44">
        <v>63</v>
      </c>
      <c r="E44" t="s">
        <v>49</v>
      </c>
      <c r="F44" t="s">
        <v>27</v>
      </c>
      <c r="G44" t="s">
        <v>1187</v>
      </c>
      <c r="H44" t="s">
        <v>1213</v>
      </c>
      <c r="I44" t="s">
        <v>132</v>
      </c>
      <c r="J44" t="s">
        <v>142</v>
      </c>
      <c r="K44">
        <v>7</v>
      </c>
      <c r="L44" t="s">
        <v>1189</v>
      </c>
      <c r="M44" t="s">
        <v>1190</v>
      </c>
      <c r="N44">
        <v>33</v>
      </c>
      <c r="O44" t="s">
        <v>653</v>
      </c>
      <c r="P44">
        <v>3157</v>
      </c>
      <c r="Q44">
        <v>8</v>
      </c>
      <c r="R44">
        <v>0</v>
      </c>
      <c r="S44" t="s">
        <v>653</v>
      </c>
      <c r="T44" t="s">
        <v>1191</v>
      </c>
      <c r="U44" t="s">
        <v>647</v>
      </c>
      <c r="V44" t="s">
        <v>46</v>
      </c>
      <c r="W44" t="s">
        <v>1193</v>
      </c>
      <c r="X44">
        <v>3</v>
      </c>
    </row>
    <row r="45" spans="1:24" x14ac:dyDescent="0.25">
      <c r="A45">
        <v>44</v>
      </c>
      <c r="B45" t="s">
        <v>1251</v>
      </c>
      <c r="C45" t="s">
        <v>43</v>
      </c>
      <c r="D45">
        <v>13</v>
      </c>
      <c r="E45" t="s">
        <v>27</v>
      </c>
      <c r="F45" t="s">
        <v>27</v>
      </c>
      <c r="G45" t="s">
        <v>1187</v>
      </c>
      <c r="H45" t="s">
        <v>1205</v>
      </c>
      <c r="I45" t="s">
        <v>133</v>
      </c>
      <c r="J45" t="s">
        <v>140</v>
      </c>
      <c r="K45">
        <v>5</v>
      </c>
      <c r="L45" t="s">
        <v>1189</v>
      </c>
      <c r="M45" t="s">
        <v>1190</v>
      </c>
      <c r="N45">
        <v>39</v>
      </c>
      <c r="O45" t="s">
        <v>647</v>
      </c>
      <c r="P45">
        <v>17736</v>
      </c>
      <c r="Q45">
        <v>6</v>
      </c>
      <c r="R45">
        <v>2</v>
      </c>
      <c r="S45" t="s">
        <v>653</v>
      </c>
      <c r="T45" t="s">
        <v>1191</v>
      </c>
      <c r="U45" t="s">
        <v>653</v>
      </c>
      <c r="V45" t="s">
        <v>46</v>
      </c>
      <c r="W45" t="s">
        <v>1193</v>
      </c>
      <c r="X45">
        <v>3</v>
      </c>
    </row>
    <row r="46" spans="1:24" x14ac:dyDescent="0.25">
      <c r="A46">
        <v>45</v>
      </c>
      <c r="B46" t="s">
        <v>1252</v>
      </c>
      <c r="C46" t="s">
        <v>30</v>
      </c>
      <c r="D46">
        <v>20</v>
      </c>
      <c r="E46" t="s">
        <v>49</v>
      </c>
      <c r="F46" t="s">
        <v>40</v>
      </c>
      <c r="G46" t="s">
        <v>1200</v>
      </c>
      <c r="H46" t="s">
        <v>1220</v>
      </c>
      <c r="I46" t="s">
        <v>134</v>
      </c>
      <c r="J46" t="s">
        <v>142</v>
      </c>
      <c r="K46">
        <v>5</v>
      </c>
      <c r="L46" t="s">
        <v>1189</v>
      </c>
      <c r="M46" t="s">
        <v>1190</v>
      </c>
      <c r="N46">
        <v>7</v>
      </c>
      <c r="O46" t="s">
        <v>653</v>
      </c>
      <c r="P46">
        <v>18903</v>
      </c>
      <c r="Q46">
        <v>6</v>
      </c>
      <c r="R46">
        <v>1</v>
      </c>
      <c r="S46" t="s">
        <v>653</v>
      </c>
      <c r="T46" t="s">
        <v>1191</v>
      </c>
      <c r="U46" t="s">
        <v>647</v>
      </c>
      <c r="V46" t="s">
        <v>46</v>
      </c>
      <c r="W46" t="s">
        <v>1193</v>
      </c>
      <c r="X46">
        <v>4</v>
      </c>
    </row>
    <row r="47" spans="1:24" x14ac:dyDescent="0.25">
      <c r="A47">
        <v>46</v>
      </c>
      <c r="B47" t="s">
        <v>1253</v>
      </c>
      <c r="C47" t="s">
        <v>30</v>
      </c>
      <c r="D47">
        <v>32</v>
      </c>
      <c r="E47" t="s">
        <v>27</v>
      </c>
      <c r="F47" t="s">
        <v>40</v>
      </c>
      <c r="G47" t="s">
        <v>1187</v>
      </c>
      <c r="H47" t="s">
        <v>1203</v>
      </c>
      <c r="I47" t="s">
        <v>136</v>
      </c>
      <c r="J47" t="s">
        <v>143</v>
      </c>
      <c r="K47">
        <v>5</v>
      </c>
      <c r="L47" t="s">
        <v>1189</v>
      </c>
      <c r="M47" t="s">
        <v>1190</v>
      </c>
      <c r="N47">
        <v>1</v>
      </c>
      <c r="O47" t="s">
        <v>647</v>
      </c>
      <c r="P47">
        <v>49431</v>
      </c>
      <c r="Q47">
        <v>2</v>
      </c>
      <c r="R47">
        <v>0</v>
      </c>
      <c r="S47" t="s">
        <v>653</v>
      </c>
      <c r="T47" t="s">
        <v>1191</v>
      </c>
      <c r="U47" t="s">
        <v>647</v>
      </c>
      <c r="V47" t="s">
        <v>46</v>
      </c>
      <c r="W47" t="s">
        <v>1184</v>
      </c>
      <c r="X47">
        <v>3</v>
      </c>
    </row>
    <row r="48" spans="1:24" x14ac:dyDescent="0.25">
      <c r="A48">
        <v>47</v>
      </c>
      <c r="B48" t="s">
        <v>1254</v>
      </c>
      <c r="C48" t="s">
        <v>43</v>
      </c>
      <c r="D48">
        <v>79</v>
      </c>
      <c r="E48" t="s">
        <v>27</v>
      </c>
      <c r="F48" t="s">
        <v>40</v>
      </c>
      <c r="G48" t="s">
        <v>1200</v>
      </c>
      <c r="H48" t="s">
        <v>1188</v>
      </c>
      <c r="I48" t="s">
        <v>137</v>
      </c>
      <c r="J48" t="s">
        <v>143</v>
      </c>
      <c r="K48">
        <v>4</v>
      </c>
      <c r="L48" t="s">
        <v>1189</v>
      </c>
      <c r="M48" t="s">
        <v>1190</v>
      </c>
      <c r="N48">
        <v>30</v>
      </c>
      <c r="O48" t="s">
        <v>653</v>
      </c>
      <c r="P48">
        <v>37723</v>
      </c>
      <c r="Q48">
        <v>3</v>
      </c>
      <c r="R48">
        <v>4</v>
      </c>
      <c r="S48" t="s">
        <v>653</v>
      </c>
      <c r="T48" t="s">
        <v>1191</v>
      </c>
      <c r="U48" t="s">
        <v>647</v>
      </c>
      <c r="V48" t="s">
        <v>1180</v>
      </c>
      <c r="W48" t="s">
        <v>1184</v>
      </c>
      <c r="X48">
        <v>3</v>
      </c>
    </row>
    <row r="49" spans="1:24" x14ac:dyDescent="0.25">
      <c r="A49">
        <v>48</v>
      </c>
      <c r="B49" t="s">
        <v>1255</v>
      </c>
      <c r="C49" t="s">
        <v>43</v>
      </c>
      <c r="D49">
        <v>41</v>
      </c>
      <c r="E49" t="s">
        <v>27</v>
      </c>
      <c r="F49" t="s">
        <v>49</v>
      </c>
      <c r="G49" t="s">
        <v>1197</v>
      </c>
      <c r="H49" t="s">
        <v>1188</v>
      </c>
      <c r="I49" t="s">
        <v>139</v>
      </c>
      <c r="J49" t="s">
        <v>156</v>
      </c>
      <c r="K49">
        <v>10</v>
      </c>
      <c r="L49" t="s">
        <v>1189</v>
      </c>
      <c r="M49" t="s">
        <v>1190</v>
      </c>
      <c r="N49">
        <v>43</v>
      </c>
      <c r="O49" t="s">
        <v>647</v>
      </c>
      <c r="P49">
        <v>12036</v>
      </c>
      <c r="Q49">
        <v>5</v>
      </c>
      <c r="R49">
        <v>3</v>
      </c>
      <c r="S49" t="s">
        <v>647</v>
      </c>
      <c r="T49" t="s">
        <v>1191</v>
      </c>
      <c r="U49" t="s">
        <v>653</v>
      </c>
      <c r="V49" t="s">
        <v>46</v>
      </c>
      <c r="W49" t="s">
        <v>1184</v>
      </c>
      <c r="X49">
        <v>5</v>
      </c>
    </row>
    <row r="50" spans="1:24" x14ac:dyDescent="0.25">
      <c r="A50">
        <v>49</v>
      </c>
      <c r="B50" t="s">
        <v>1256</v>
      </c>
      <c r="C50" t="s">
        <v>43</v>
      </c>
      <c r="D50">
        <v>14</v>
      </c>
      <c r="E50" t="s">
        <v>66</v>
      </c>
      <c r="F50" t="s">
        <v>49</v>
      </c>
      <c r="G50" t="s">
        <v>1187</v>
      </c>
      <c r="H50" t="s">
        <v>1195</v>
      </c>
      <c r="I50" t="s">
        <v>140</v>
      </c>
      <c r="J50" t="s">
        <v>147</v>
      </c>
      <c r="K50">
        <v>4</v>
      </c>
      <c r="L50" t="s">
        <v>1189</v>
      </c>
      <c r="M50" t="s">
        <v>1190</v>
      </c>
      <c r="N50">
        <v>22</v>
      </c>
      <c r="O50" t="s">
        <v>647</v>
      </c>
      <c r="P50">
        <v>27266</v>
      </c>
      <c r="Q50">
        <v>1</v>
      </c>
      <c r="R50">
        <v>5</v>
      </c>
      <c r="S50" t="s">
        <v>647</v>
      </c>
      <c r="T50" t="s">
        <v>1191</v>
      </c>
      <c r="U50" t="s">
        <v>653</v>
      </c>
      <c r="V50" t="s">
        <v>1180</v>
      </c>
      <c r="W50" t="s">
        <v>1193</v>
      </c>
      <c r="X50">
        <v>4</v>
      </c>
    </row>
    <row r="51" spans="1:24" x14ac:dyDescent="0.25">
      <c r="A51">
        <v>50</v>
      </c>
      <c r="B51" t="s">
        <v>1257</v>
      </c>
      <c r="C51" t="s">
        <v>43</v>
      </c>
      <c r="D51">
        <v>43</v>
      </c>
      <c r="E51" t="s">
        <v>27</v>
      </c>
      <c r="F51" t="s">
        <v>49</v>
      </c>
      <c r="G51" t="s">
        <v>1187</v>
      </c>
      <c r="H51" t="s">
        <v>1220</v>
      </c>
      <c r="I51" t="s">
        <v>142</v>
      </c>
      <c r="J51" t="s">
        <v>149</v>
      </c>
      <c r="K51">
        <v>4</v>
      </c>
      <c r="L51" t="s">
        <v>1189</v>
      </c>
      <c r="M51" t="s">
        <v>1190</v>
      </c>
      <c r="N51">
        <v>29</v>
      </c>
      <c r="O51" t="s">
        <v>647</v>
      </c>
      <c r="P51">
        <v>27884</v>
      </c>
      <c r="Q51">
        <v>5</v>
      </c>
      <c r="R51">
        <v>4</v>
      </c>
      <c r="S51" t="s">
        <v>653</v>
      </c>
      <c r="T51" t="s">
        <v>1191</v>
      </c>
      <c r="U51" t="s">
        <v>647</v>
      </c>
      <c r="V51" t="s">
        <v>46</v>
      </c>
      <c r="W51" t="s">
        <v>1193</v>
      </c>
      <c r="X51">
        <v>4</v>
      </c>
    </row>
    <row r="52" spans="1:24" x14ac:dyDescent="0.25">
      <c r="A52">
        <v>51</v>
      </c>
      <c r="B52" t="s">
        <v>1258</v>
      </c>
      <c r="C52" t="s">
        <v>30</v>
      </c>
      <c r="D52">
        <v>22</v>
      </c>
      <c r="E52" t="s">
        <v>27</v>
      </c>
      <c r="F52" t="s">
        <v>40</v>
      </c>
      <c r="G52" t="s">
        <v>1200</v>
      </c>
      <c r="H52" t="s">
        <v>1220</v>
      </c>
      <c r="I52" t="s">
        <v>143</v>
      </c>
      <c r="J52" t="s">
        <v>154</v>
      </c>
      <c r="K52">
        <v>6</v>
      </c>
      <c r="L52" t="s">
        <v>1189</v>
      </c>
      <c r="M52" t="s">
        <v>1190</v>
      </c>
      <c r="N52">
        <v>25</v>
      </c>
      <c r="O52" t="s">
        <v>653</v>
      </c>
      <c r="P52">
        <v>29027</v>
      </c>
      <c r="Q52">
        <v>7</v>
      </c>
      <c r="R52">
        <v>5</v>
      </c>
      <c r="S52" t="s">
        <v>653</v>
      </c>
      <c r="T52" t="s">
        <v>1191</v>
      </c>
      <c r="U52" t="s">
        <v>653</v>
      </c>
      <c r="V52" t="s">
        <v>1180</v>
      </c>
      <c r="W52" t="s">
        <v>1193</v>
      </c>
      <c r="X52">
        <v>3</v>
      </c>
    </row>
    <row r="53" spans="1:24" x14ac:dyDescent="0.25">
      <c r="A53">
        <v>52</v>
      </c>
      <c r="B53" t="s">
        <v>1259</v>
      </c>
      <c r="C53" t="s">
        <v>43</v>
      </c>
      <c r="D53">
        <v>63</v>
      </c>
      <c r="E53" t="s">
        <v>27</v>
      </c>
      <c r="F53" t="s">
        <v>27</v>
      </c>
      <c r="G53" t="s">
        <v>1187</v>
      </c>
      <c r="H53" t="s">
        <v>1205</v>
      </c>
      <c r="I53" t="s">
        <v>145</v>
      </c>
      <c r="J53" t="s">
        <v>162</v>
      </c>
      <c r="K53">
        <v>10</v>
      </c>
      <c r="L53" t="s">
        <v>1189</v>
      </c>
      <c r="M53" t="s">
        <v>1190</v>
      </c>
      <c r="N53">
        <v>22</v>
      </c>
      <c r="O53" t="s">
        <v>647</v>
      </c>
      <c r="P53">
        <v>8612</v>
      </c>
      <c r="Q53">
        <v>8</v>
      </c>
      <c r="R53">
        <v>1</v>
      </c>
      <c r="S53" t="s">
        <v>647</v>
      </c>
      <c r="T53" t="s">
        <v>1191</v>
      </c>
      <c r="U53" t="s">
        <v>647</v>
      </c>
      <c r="V53" t="s">
        <v>46</v>
      </c>
      <c r="W53" t="s">
        <v>1184</v>
      </c>
      <c r="X53">
        <v>5</v>
      </c>
    </row>
    <row r="54" spans="1:24" x14ac:dyDescent="0.25">
      <c r="A54">
        <v>53</v>
      </c>
      <c r="B54" t="s">
        <v>1260</v>
      </c>
      <c r="C54" t="s">
        <v>30</v>
      </c>
      <c r="D54">
        <v>55</v>
      </c>
      <c r="E54" t="s">
        <v>66</v>
      </c>
      <c r="F54" t="s">
        <v>27</v>
      </c>
      <c r="G54" t="s">
        <v>1200</v>
      </c>
      <c r="H54" t="s">
        <v>1188</v>
      </c>
      <c r="I54" t="s">
        <v>147</v>
      </c>
      <c r="J54" t="s">
        <v>160</v>
      </c>
      <c r="K54">
        <v>8</v>
      </c>
      <c r="L54" t="s">
        <v>1189</v>
      </c>
      <c r="M54" t="s">
        <v>1190</v>
      </c>
      <c r="N54">
        <v>26</v>
      </c>
      <c r="O54" t="s">
        <v>653</v>
      </c>
      <c r="P54">
        <v>44152</v>
      </c>
      <c r="Q54">
        <v>1</v>
      </c>
      <c r="R54">
        <v>4</v>
      </c>
      <c r="S54" t="s">
        <v>647</v>
      </c>
      <c r="T54" t="s">
        <v>1191</v>
      </c>
      <c r="U54" t="s">
        <v>653</v>
      </c>
      <c r="V54" t="s">
        <v>1180</v>
      </c>
      <c r="W54" t="s">
        <v>1184</v>
      </c>
      <c r="X54">
        <v>4</v>
      </c>
    </row>
    <row r="55" spans="1:24" x14ac:dyDescent="0.25">
      <c r="A55">
        <v>54</v>
      </c>
      <c r="B55" t="s">
        <v>1261</v>
      </c>
      <c r="C55" t="s">
        <v>30</v>
      </c>
      <c r="D55">
        <v>3</v>
      </c>
      <c r="E55" t="s">
        <v>27</v>
      </c>
      <c r="F55" t="s">
        <v>27</v>
      </c>
      <c r="G55" t="s">
        <v>1200</v>
      </c>
      <c r="H55" t="s">
        <v>1243</v>
      </c>
      <c r="I55" t="s">
        <v>149</v>
      </c>
      <c r="J55" t="s">
        <v>165</v>
      </c>
      <c r="K55">
        <v>10</v>
      </c>
      <c r="L55" t="s">
        <v>1189</v>
      </c>
      <c r="M55" t="s">
        <v>1190</v>
      </c>
      <c r="N55">
        <v>39</v>
      </c>
      <c r="O55" t="s">
        <v>653</v>
      </c>
      <c r="P55">
        <v>34726</v>
      </c>
      <c r="Q55">
        <v>2</v>
      </c>
      <c r="R55">
        <v>4</v>
      </c>
      <c r="S55" t="s">
        <v>653</v>
      </c>
      <c r="T55" t="s">
        <v>1191</v>
      </c>
      <c r="U55" t="s">
        <v>653</v>
      </c>
      <c r="V55" t="s">
        <v>46</v>
      </c>
      <c r="W55" t="s">
        <v>1184</v>
      </c>
      <c r="X55">
        <v>5</v>
      </c>
    </row>
    <row r="56" spans="1:24" x14ac:dyDescent="0.25">
      <c r="A56">
        <v>55</v>
      </c>
      <c r="B56" t="s">
        <v>1262</v>
      </c>
      <c r="C56" t="s">
        <v>30</v>
      </c>
      <c r="D56">
        <v>30</v>
      </c>
      <c r="E56" t="s">
        <v>66</v>
      </c>
      <c r="F56" t="s">
        <v>40</v>
      </c>
      <c r="G56" t="s">
        <v>1200</v>
      </c>
      <c r="H56" t="s">
        <v>1192</v>
      </c>
      <c r="I56" t="s">
        <v>150</v>
      </c>
      <c r="J56" t="s">
        <v>164</v>
      </c>
      <c r="K56">
        <v>8</v>
      </c>
      <c r="L56" t="s">
        <v>1189</v>
      </c>
      <c r="M56" t="s">
        <v>1190</v>
      </c>
      <c r="N56">
        <v>16</v>
      </c>
      <c r="O56" t="s">
        <v>647</v>
      </c>
      <c r="P56">
        <v>4708</v>
      </c>
      <c r="Q56">
        <v>8</v>
      </c>
      <c r="R56">
        <v>2</v>
      </c>
      <c r="S56" t="s">
        <v>647</v>
      </c>
      <c r="T56" t="s">
        <v>1191</v>
      </c>
      <c r="U56" t="s">
        <v>653</v>
      </c>
      <c r="V56" t="s">
        <v>46</v>
      </c>
      <c r="W56" t="s">
        <v>1184</v>
      </c>
      <c r="X56">
        <v>3</v>
      </c>
    </row>
    <row r="57" spans="1:24" x14ac:dyDescent="0.25">
      <c r="A57">
        <v>56</v>
      </c>
      <c r="B57" t="s">
        <v>1263</v>
      </c>
      <c r="C57" t="s">
        <v>30</v>
      </c>
      <c r="D57">
        <v>65</v>
      </c>
      <c r="E57" t="s">
        <v>27</v>
      </c>
      <c r="F57" t="s">
        <v>40</v>
      </c>
      <c r="G57" t="s">
        <v>1200</v>
      </c>
      <c r="H57" t="s">
        <v>1239</v>
      </c>
      <c r="I57" t="s">
        <v>152</v>
      </c>
      <c r="J57" t="s">
        <v>162</v>
      </c>
      <c r="K57">
        <v>6</v>
      </c>
      <c r="L57" t="s">
        <v>1189</v>
      </c>
      <c r="M57" t="s">
        <v>1190</v>
      </c>
      <c r="N57">
        <v>4</v>
      </c>
      <c r="O57" t="s">
        <v>653</v>
      </c>
      <c r="P57">
        <v>5168</v>
      </c>
      <c r="Q57">
        <v>4</v>
      </c>
      <c r="R57">
        <v>2</v>
      </c>
      <c r="S57" t="s">
        <v>647</v>
      </c>
      <c r="T57" t="s">
        <v>1191</v>
      </c>
      <c r="U57" t="s">
        <v>653</v>
      </c>
      <c r="V57" t="s">
        <v>1180</v>
      </c>
      <c r="W57" t="s">
        <v>1184</v>
      </c>
      <c r="X57">
        <v>3</v>
      </c>
    </row>
    <row r="58" spans="1:24" x14ac:dyDescent="0.25">
      <c r="A58">
        <v>57</v>
      </c>
      <c r="B58" t="s">
        <v>1264</v>
      </c>
      <c r="C58" t="s">
        <v>43</v>
      </c>
      <c r="D58">
        <v>69</v>
      </c>
      <c r="E58" t="s">
        <v>49</v>
      </c>
      <c r="F58" t="s">
        <v>40</v>
      </c>
      <c r="G58" t="s">
        <v>1200</v>
      </c>
      <c r="H58" t="s">
        <v>1265</v>
      </c>
      <c r="I58" t="s">
        <v>154</v>
      </c>
      <c r="J58" t="s">
        <v>164</v>
      </c>
      <c r="K58">
        <v>6</v>
      </c>
      <c r="L58" t="s">
        <v>1189</v>
      </c>
      <c r="M58" t="s">
        <v>1190</v>
      </c>
      <c r="N58">
        <v>3</v>
      </c>
      <c r="O58" t="s">
        <v>653</v>
      </c>
      <c r="P58">
        <v>7270</v>
      </c>
      <c r="Q58">
        <v>7</v>
      </c>
      <c r="R58">
        <v>2</v>
      </c>
      <c r="S58" t="s">
        <v>647</v>
      </c>
      <c r="T58" t="s">
        <v>1191</v>
      </c>
      <c r="U58" t="s">
        <v>647</v>
      </c>
      <c r="V58" t="s">
        <v>46</v>
      </c>
      <c r="W58" t="s">
        <v>1184</v>
      </c>
      <c r="X58">
        <v>4</v>
      </c>
    </row>
    <row r="59" spans="1:24" x14ac:dyDescent="0.25">
      <c r="A59">
        <v>58</v>
      </c>
      <c r="B59" t="s">
        <v>1266</v>
      </c>
      <c r="C59" t="s">
        <v>43</v>
      </c>
      <c r="D59">
        <v>51</v>
      </c>
      <c r="E59" t="s">
        <v>66</v>
      </c>
      <c r="F59" t="s">
        <v>49</v>
      </c>
      <c r="G59" t="s">
        <v>1197</v>
      </c>
      <c r="H59" t="s">
        <v>1201</v>
      </c>
      <c r="I59" t="s">
        <v>156</v>
      </c>
      <c r="J59" t="s">
        <v>170</v>
      </c>
      <c r="K59">
        <v>9</v>
      </c>
      <c r="L59" t="s">
        <v>1189</v>
      </c>
      <c r="M59" t="s">
        <v>1190</v>
      </c>
      <c r="N59">
        <v>35</v>
      </c>
      <c r="O59" t="s">
        <v>653</v>
      </c>
      <c r="P59">
        <v>46094</v>
      </c>
      <c r="Q59">
        <v>8</v>
      </c>
      <c r="R59">
        <v>4</v>
      </c>
      <c r="S59" t="s">
        <v>653</v>
      </c>
      <c r="T59" t="s">
        <v>1191</v>
      </c>
      <c r="U59" t="s">
        <v>647</v>
      </c>
      <c r="V59" t="s">
        <v>1180</v>
      </c>
      <c r="W59" t="s">
        <v>1184</v>
      </c>
      <c r="X59">
        <v>5</v>
      </c>
    </row>
    <row r="60" spans="1:24" x14ac:dyDescent="0.25">
      <c r="A60">
        <v>59</v>
      </c>
      <c r="B60" t="s">
        <v>1267</v>
      </c>
      <c r="C60" t="s">
        <v>43</v>
      </c>
      <c r="D60">
        <v>12</v>
      </c>
      <c r="E60" t="s">
        <v>49</v>
      </c>
      <c r="F60" t="s">
        <v>40</v>
      </c>
      <c r="G60" t="s">
        <v>1187</v>
      </c>
      <c r="H60" t="s">
        <v>1208</v>
      </c>
      <c r="I60" t="s">
        <v>157</v>
      </c>
      <c r="J60" t="s">
        <v>173</v>
      </c>
      <c r="K60">
        <v>10</v>
      </c>
      <c r="L60" t="s">
        <v>1189</v>
      </c>
      <c r="M60" t="s">
        <v>1190</v>
      </c>
      <c r="N60">
        <v>42</v>
      </c>
      <c r="O60" t="s">
        <v>653</v>
      </c>
      <c r="P60">
        <v>34163</v>
      </c>
      <c r="Q60">
        <v>1</v>
      </c>
      <c r="R60">
        <v>2</v>
      </c>
      <c r="S60" t="s">
        <v>647</v>
      </c>
      <c r="T60" t="s">
        <v>1191</v>
      </c>
      <c r="U60" t="s">
        <v>647</v>
      </c>
      <c r="V60" t="s">
        <v>46</v>
      </c>
      <c r="W60" t="s">
        <v>1193</v>
      </c>
      <c r="X60">
        <v>5</v>
      </c>
    </row>
    <row r="61" spans="1:24" x14ac:dyDescent="0.25">
      <c r="A61">
        <v>60</v>
      </c>
      <c r="B61" t="s">
        <v>1268</v>
      </c>
      <c r="C61" t="s">
        <v>30</v>
      </c>
      <c r="D61">
        <v>12</v>
      </c>
      <c r="E61" t="s">
        <v>66</v>
      </c>
      <c r="F61" t="s">
        <v>40</v>
      </c>
      <c r="G61" t="s">
        <v>1200</v>
      </c>
      <c r="H61" t="s">
        <v>1222</v>
      </c>
      <c r="I61" t="s">
        <v>159</v>
      </c>
      <c r="J61" t="s">
        <v>170</v>
      </c>
      <c r="K61">
        <v>7</v>
      </c>
      <c r="L61" t="s">
        <v>1189</v>
      </c>
      <c r="M61" t="s">
        <v>1190</v>
      </c>
      <c r="N61">
        <v>33</v>
      </c>
      <c r="O61" t="s">
        <v>647</v>
      </c>
      <c r="P61">
        <v>39686</v>
      </c>
      <c r="Q61">
        <v>2</v>
      </c>
      <c r="R61">
        <v>5</v>
      </c>
      <c r="S61" t="s">
        <v>653</v>
      </c>
      <c r="T61" t="s">
        <v>1191</v>
      </c>
      <c r="U61" t="s">
        <v>653</v>
      </c>
      <c r="V61" t="s">
        <v>46</v>
      </c>
      <c r="W61" t="s">
        <v>1193</v>
      </c>
      <c r="X61">
        <v>5</v>
      </c>
    </row>
    <row r="62" spans="1:24" x14ac:dyDescent="0.25">
      <c r="A62">
        <v>61</v>
      </c>
      <c r="B62" t="s">
        <v>1269</v>
      </c>
      <c r="C62" t="s">
        <v>30</v>
      </c>
      <c r="D62">
        <v>54</v>
      </c>
      <c r="E62" t="s">
        <v>27</v>
      </c>
      <c r="F62" t="s">
        <v>40</v>
      </c>
      <c r="G62" t="s">
        <v>1197</v>
      </c>
      <c r="H62" t="s">
        <v>1220</v>
      </c>
      <c r="I62" t="s">
        <v>160</v>
      </c>
      <c r="J62" t="s">
        <v>167</v>
      </c>
      <c r="K62">
        <v>4</v>
      </c>
      <c r="L62" t="s">
        <v>1189</v>
      </c>
      <c r="M62" t="s">
        <v>1190</v>
      </c>
      <c r="N62">
        <v>39</v>
      </c>
      <c r="O62" t="s">
        <v>647</v>
      </c>
      <c r="P62">
        <v>19182</v>
      </c>
      <c r="Q62">
        <v>1</v>
      </c>
      <c r="R62">
        <v>3</v>
      </c>
      <c r="S62" t="s">
        <v>653</v>
      </c>
      <c r="T62" t="s">
        <v>1191</v>
      </c>
      <c r="U62" t="s">
        <v>653</v>
      </c>
      <c r="V62" t="s">
        <v>1180</v>
      </c>
      <c r="W62" t="s">
        <v>1193</v>
      </c>
      <c r="X62">
        <v>3</v>
      </c>
    </row>
    <row r="63" spans="1:24" x14ac:dyDescent="0.25">
      <c r="A63">
        <v>62</v>
      </c>
      <c r="B63" t="s">
        <v>1270</v>
      </c>
      <c r="C63" t="s">
        <v>30</v>
      </c>
      <c r="D63">
        <v>72</v>
      </c>
      <c r="E63" t="s">
        <v>49</v>
      </c>
      <c r="F63" t="s">
        <v>27</v>
      </c>
      <c r="G63" t="s">
        <v>1187</v>
      </c>
      <c r="H63" t="s">
        <v>1222</v>
      </c>
      <c r="I63" t="s">
        <v>162</v>
      </c>
      <c r="J63" t="s">
        <v>170</v>
      </c>
      <c r="K63">
        <v>5</v>
      </c>
      <c r="L63" t="s">
        <v>1189</v>
      </c>
      <c r="M63" t="s">
        <v>1190</v>
      </c>
      <c r="N63">
        <v>33</v>
      </c>
      <c r="O63" t="s">
        <v>653</v>
      </c>
      <c r="P63">
        <v>2473</v>
      </c>
      <c r="Q63">
        <v>4</v>
      </c>
      <c r="R63">
        <v>3</v>
      </c>
      <c r="S63" t="s">
        <v>647</v>
      </c>
      <c r="T63" t="s">
        <v>1191</v>
      </c>
      <c r="U63" t="s">
        <v>647</v>
      </c>
      <c r="V63" t="s">
        <v>46</v>
      </c>
      <c r="W63" t="s">
        <v>279</v>
      </c>
      <c r="X63">
        <v>5</v>
      </c>
    </row>
    <row r="64" spans="1:24" x14ac:dyDescent="0.25">
      <c r="A64">
        <v>63</v>
      </c>
      <c r="B64" t="s">
        <v>1271</v>
      </c>
      <c r="C64" t="s">
        <v>30</v>
      </c>
      <c r="D64">
        <v>71</v>
      </c>
      <c r="E64" t="s">
        <v>66</v>
      </c>
      <c r="F64" t="s">
        <v>27</v>
      </c>
      <c r="G64" t="s">
        <v>1187</v>
      </c>
      <c r="H64" t="s">
        <v>1205</v>
      </c>
      <c r="I64" t="s">
        <v>164</v>
      </c>
      <c r="J64" t="s">
        <v>176</v>
      </c>
      <c r="K64">
        <v>9</v>
      </c>
      <c r="L64" t="s">
        <v>1189</v>
      </c>
      <c r="M64" t="s">
        <v>1190</v>
      </c>
      <c r="N64">
        <v>11</v>
      </c>
      <c r="O64" t="s">
        <v>647</v>
      </c>
      <c r="P64">
        <v>9816</v>
      </c>
      <c r="Q64">
        <v>2</v>
      </c>
      <c r="R64">
        <v>3</v>
      </c>
      <c r="S64" t="s">
        <v>647</v>
      </c>
      <c r="T64" t="s">
        <v>1191</v>
      </c>
      <c r="U64" t="s">
        <v>647</v>
      </c>
      <c r="V64" t="s">
        <v>1180</v>
      </c>
      <c r="W64" t="s">
        <v>279</v>
      </c>
      <c r="X64">
        <v>3</v>
      </c>
    </row>
    <row r="65" spans="1:24" x14ac:dyDescent="0.25">
      <c r="A65">
        <v>64</v>
      </c>
      <c r="B65" t="s">
        <v>1272</v>
      </c>
      <c r="C65" t="s">
        <v>30</v>
      </c>
      <c r="D65">
        <v>77</v>
      </c>
      <c r="E65" t="s">
        <v>66</v>
      </c>
      <c r="F65" t="s">
        <v>49</v>
      </c>
      <c r="G65" t="s">
        <v>1187</v>
      </c>
      <c r="H65" t="s">
        <v>1215</v>
      </c>
      <c r="I65" t="s">
        <v>165</v>
      </c>
      <c r="J65" t="s">
        <v>167</v>
      </c>
      <c r="K65">
        <v>1</v>
      </c>
      <c r="L65" t="s">
        <v>1189</v>
      </c>
      <c r="M65" t="s">
        <v>1190</v>
      </c>
      <c r="N65">
        <v>18</v>
      </c>
      <c r="O65" t="s">
        <v>653</v>
      </c>
      <c r="P65">
        <v>49773</v>
      </c>
      <c r="Q65">
        <v>2</v>
      </c>
      <c r="R65">
        <v>4</v>
      </c>
      <c r="S65" t="s">
        <v>653</v>
      </c>
      <c r="T65" t="s">
        <v>1191</v>
      </c>
      <c r="U65" t="s">
        <v>647</v>
      </c>
      <c r="V65" t="s">
        <v>46</v>
      </c>
      <c r="W65" t="s">
        <v>1193</v>
      </c>
      <c r="X65">
        <v>3</v>
      </c>
    </row>
    <row r="66" spans="1:24" x14ac:dyDescent="0.25">
      <c r="A66">
        <v>65</v>
      </c>
      <c r="B66" t="s">
        <v>1273</v>
      </c>
      <c r="C66" t="s">
        <v>30</v>
      </c>
      <c r="D66">
        <v>69</v>
      </c>
      <c r="E66" t="s">
        <v>27</v>
      </c>
      <c r="F66" t="s">
        <v>40</v>
      </c>
      <c r="G66" t="s">
        <v>1187</v>
      </c>
      <c r="H66" t="s">
        <v>1215</v>
      </c>
      <c r="I66" t="s">
        <v>167</v>
      </c>
      <c r="J66" t="s">
        <v>174</v>
      </c>
      <c r="K66">
        <v>5</v>
      </c>
      <c r="L66" t="s">
        <v>1189</v>
      </c>
      <c r="M66" t="s">
        <v>1190</v>
      </c>
      <c r="N66">
        <v>34</v>
      </c>
      <c r="O66" t="s">
        <v>653</v>
      </c>
      <c r="P66">
        <v>12768</v>
      </c>
      <c r="Q66">
        <v>2</v>
      </c>
      <c r="R66">
        <v>2</v>
      </c>
      <c r="S66" t="s">
        <v>647</v>
      </c>
      <c r="T66" t="s">
        <v>1191</v>
      </c>
      <c r="U66" t="s">
        <v>653</v>
      </c>
      <c r="V66" t="s">
        <v>1180</v>
      </c>
      <c r="W66" t="s">
        <v>1193</v>
      </c>
      <c r="X66">
        <v>3</v>
      </c>
    </row>
    <row r="67" spans="1:24" x14ac:dyDescent="0.25">
      <c r="A67">
        <v>66</v>
      </c>
      <c r="B67" t="s">
        <v>1274</v>
      </c>
      <c r="C67" t="s">
        <v>43</v>
      </c>
      <c r="D67">
        <v>79</v>
      </c>
      <c r="E67" t="s">
        <v>27</v>
      </c>
      <c r="F67" t="s">
        <v>49</v>
      </c>
      <c r="G67" t="s">
        <v>1197</v>
      </c>
      <c r="H67" t="s">
        <v>1195</v>
      </c>
      <c r="I67" t="s">
        <v>168</v>
      </c>
      <c r="J67" t="s">
        <v>175</v>
      </c>
      <c r="K67">
        <v>5</v>
      </c>
      <c r="L67" t="s">
        <v>1189</v>
      </c>
      <c r="M67" t="s">
        <v>1190</v>
      </c>
      <c r="N67">
        <v>42</v>
      </c>
      <c r="O67" t="s">
        <v>647</v>
      </c>
      <c r="P67">
        <v>42611</v>
      </c>
      <c r="Q67">
        <v>3</v>
      </c>
      <c r="R67">
        <v>3</v>
      </c>
      <c r="S67" t="s">
        <v>647</v>
      </c>
      <c r="T67" t="s">
        <v>1191</v>
      </c>
      <c r="U67" t="s">
        <v>647</v>
      </c>
      <c r="V67" t="s">
        <v>46</v>
      </c>
      <c r="W67" t="s">
        <v>1184</v>
      </c>
      <c r="X67">
        <v>5</v>
      </c>
    </row>
    <row r="68" spans="1:24" x14ac:dyDescent="0.25">
      <c r="A68">
        <v>67</v>
      </c>
      <c r="B68" t="s">
        <v>1275</v>
      </c>
      <c r="C68" t="s">
        <v>43</v>
      </c>
      <c r="D68">
        <v>61</v>
      </c>
      <c r="E68" t="s">
        <v>49</v>
      </c>
      <c r="F68" t="s">
        <v>49</v>
      </c>
      <c r="G68" t="s">
        <v>1197</v>
      </c>
      <c r="H68" t="s">
        <v>1239</v>
      </c>
      <c r="I68" t="s">
        <v>170</v>
      </c>
      <c r="J68" t="s">
        <v>175</v>
      </c>
      <c r="K68">
        <v>4</v>
      </c>
      <c r="L68" t="s">
        <v>1189</v>
      </c>
      <c r="M68" t="s">
        <v>1190</v>
      </c>
      <c r="N68">
        <v>25</v>
      </c>
      <c r="O68" t="s">
        <v>653</v>
      </c>
      <c r="P68">
        <v>37243</v>
      </c>
      <c r="Q68">
        <v>7</v>
      </c>
      <c r="R68">
        <v>5</v>
      </c>
      <c r="S68" t="s">
        <v>653</v>
      </c>
      <c r="T68" t="s">
        <v>1191</v>
      </c>
      <c r="U68" t="s">
        <v>647</v>
      </c>
      <c r="V68" t="s">
        <v>1180</v>
      </c>
      <c r="W68" t="s">
        <v>1193</v>
      </c>
      <c r="X68">
        <v>4</v>
      </c>
    </row>
    <row r="69" spans="1:24" x14ac:dyDescent="0.25">
      <c r="A69">
        <v>68</v>
      </c>
      <c r="B69" t="s">
        <v>1276</v>
      </c>
      <c r="C69" t="s">
        <v>30</v>
      </c>
      <c r="D69">
        <v>35</v>
      </c>
      <c r="E69" t="s">
        <v>66</v>
      </c>
      <c r="F69" t="s">
        <v>40</v>
      </c>
      <c r="G69" t="s">
        <v>1197</v>
      </c>
      <c r="H69" t="s">
        <v>1201</v>
      </c>
      <c r="I69" t="s">
        <v>172</v>
      </c>
      <c r="J69" t="s">
        <v>184</v>
      </c>
      <c r="K69">
        <v>10</v>
      </c>
      <c r="L69" t="s">
        <v>1189</v>
      </c>
      <c r="M69" t="s">
        <v>1190</v>
      </c>
      <c r="N69">
        <v>7</v>
      </c>
      <c r="O69" t="s">
        <v>653</v>
      </c>
      <c r="P69">
        <v>38802</v>
      </c>
      <c r="Q69">
        <v>6</v>
      </c>
      <c r="R69">
        <v>0</v>
      </c>
      <c r="S69" t="s">
        <v>653</v>
      </c>
      <c r="T69" t="s">
        <v>1191</v>
      </c>
      <c r="U69" t="s">
        <v>653</v>
      </c>
      <c r="V69" t="s">
        <v>46</v>
      </c>
      <c r="W69" t="s">
        <v>279</v>
      </c>
      <c r="X69">
        <v>4</v>
      </c>
    </row>
    <row r="70" spans="1:24" x14ac:dyDescent="0.25">
      <c r="A70">
        <v>69</v>
      </c>
      <c r="B70" t="s">
        <v>1277</v>
      </c>
      <c r="C70" t="s">
        <v>43</v>
      </c>
      <c r="D70">
        <v>8</v>
      </c>
      <c r="E70" t="s">
        <v>27</v>
      </c>
      <c r="F70" t="s">
        <v>40</v>
      </c>
      <c r="G70" t="s">
        <v>1200</v>
      </c>
      <c r="H70" t="s">
        <v>1194</v>
      </c>
      <c r="I70" t="s">
        <v>173</v>
      </c>
      <c r="J70" t="s">
        <v>180</v>
      </c>
      <c r="K70">
        <v>6</v>
      </c>
      <c r="L70" t="s">
        <v>1189</v>
      </c>
      <c r="M70" t="s">
        <v>1190</v>
      </c>
      <c r="N70">
        <v>47</v>
      </c>
      <c r="O70" t="s">
        <v>647</v>
      </c>
      <c r="P70">
        <v>4493</v>
      </c>
      <c r="Q70">
        <v>6</v>
      </c>
      <c r="R70">
        <v>3</v>
      </c>
      <c r="S70" t="s">
        <v>653</v>
      </c>
      <c r="T70" t="s">
        <v>1191</v>
      </c>
      <c r="U70" t="s">
        <v>647</v>
      </c>
      <c r="V70" t="s">
        <v>46</v>
      </c>
      <c r="W70" t="s">
        <v>279</v>
      </c>
      <c r="X70">
        <v>4</v>
      </c>
    </row>
    <row r="71" spans="1:24" x14ac:dyDescent="0.25">
      <c r="A71">
        <v>70</v>
      </c>
      <c r="B71" t="s">
        <v>1278</v>
      </c>
      <c r="C71" t="s">
        <v>43</v>
      </c>
      <c r="D71">
        <v>8</v>
      </c>
      <c r="E71" t="s">
        <v>66</v>
      </c>
      <c r="F71" t="s">
        <v>27</v>
      </c>
      <c r="G71" t="s">
        <v>1187</v>
      </c>
      <c r="H71" t="s">
        <v>1213</v>
      </c>
      <c r="I71" t="s">
        <v>174</v>
      </c>
      <c r="J71" t="s">
        <v>178</v>
      </c>
      <c r="K71">
        <v>3</v>
      </c>
      <c r="L71" t="s">
        <v>1189</v>
      </c>
      <c r="M71" t="s">
        <v>1190</v>
      </c>
      <c r="N71">
        <v>24</v>
      </c>
      <c r="O71" t="s">
        <v>653</v>
      </c>
      <c r="P71">
        <v>3591</v>
      </c>
      <c r="Q71">
        <v>7</v>
      </c>
      <c r="R71">
        <v>3</v>
      </c>
      <c r="S71" t="s">
        <v>647</v>
      </c>
      <c r="T71" t="s">
        <v>1191</v>
      </c>
      <c r="U71" t="s">
        <v>653</v>
      </c>
      <c r="V71" t="s">
        <v>1180</v>
      </c>
      <c r="W71" t="s">
        <v>1184</v>
      </c>
      <c r="X71">
        <v>3</v>
      </c>
    </row>
    <row r="72" spans="1:24" x14ac:dyDescent="0.25">
      <c r="A72">
        <v>71</v>
      </c>
      <c r="B72" t="s">
        <v>1279</v>
      </c>
      <c r="C72" t="s">
        <v>43</v>
      </c>
      <c r="D72">
        <v>49</v>
      </c>
      <c r="E72" t="s">
        <v>66</v>
      </c>
      <c r="F72" t="s">
        <v>27</v>
      </c>
      <c r="G72" t="s">
        <v>1187</v>
      </c>
      <c r="H72" t="s">
        <v>1211</v>
      </c>
      <c r="I72" t="s">
        <v>175</v>
      </c>
      <c r="J72" t="s">
        <v>184</v>
      </c>
      <c r="K72">
        <v>7</v>
      </c>
      <c r="L72" t="s">
        <v>1189</v>
      </c>
      <c r="M72" t="s">
        <v>1190</v>
      </c>
      <c r="N72">
        <v>9</v>
      </c>
      <c r="O72" t="s">
        <v>647</v>
      </c>
      <c r="P72">
        <v>25247</v>
      </c>
      <c r="Q72">
        <v>7</v>
      </c>
      <c r="R72">
        <v>1</v>
      </c>
      <c r="S72" t="s">
        <v>647</v>
      </c>
      <c r="T72" t="s">
        <v>1191</v>
      </c>
      <c r="U72" t="s">
        <v>647</v>
      </c>
      <c r="V72" t="s">
        <v>46</v>
      </c>
      <c r="W72" t="s">
        <v>1193</v>
      </c>
      <c r="X72">
        <v>4</v>
      </c>
    </row>
    <row r="73" spans="1:24" x14ac:dyDescent="0.25">
      <c r="A73">
        <v>72</v>
      </c>
      <c r="B73" t="s">
        <v>1280</v>
      </c>
      <c r="C73" t="s">
        <v>30</v>
      </c>
      <c r="D73">
        <v>13</v>
      </c>
      <c r="E73" t="s">
        <v>66</v>
      </c>
      <c r="F73" t="s">
        <v>27</v>
      </c>
      <c r="G73" t="s">
        <v>1187</v>
      </c>
      <c r="H73" t="s">
        <v>1201</v>
      </c>
      <c r="I73" t="s">
        <v>176</v>
      </c>
      <c r="J73" t="s">
        <v>179</v>
      </c>
      <c r="K73">
        <v>2</v>
      </c>
      <c r="L73" t="s">
        <v>1189</v>
      </c>
      <c r="M73" t="s">
        <v>1190</v>
      </c>
      <c r="N73">
        <v>8</v>
      </c>
      <c r="O73" t="s">
        <v>653</v>
      </c>
      <c r="P73">
        <v>7521</v>
      </c>
      <c r="Q73">
        <v>1</v>
      </c>
      <c r="R73">
        <v>3</v>
      </c>
      <c r="S73" t="s">
        <v>647</v>
      </c>
      <c r="T73" t="s">
        <v>1191</v>
      </c>
      <c r="U73" t="s">
        <v>653</v>
      </c>
      <c r="V73" t="s">
        <v>1180</v>
      </c>
      <c r="W73" t="s">
        <v>279</v>
      </c>
      <c r="X73">
        <v>5</v>
      </c>
    </row>
    <row r="74" spans="1:24" x14ac:dyDescent="0.25">
      <c r="A74">
        <v>73</v>
      </c>
      <c r="B74" t="s">
        <v>1281</v>
      </c>
      <c r="C74" t="s">
        <v>43</v>
      </c>
      <c r="D74">
        <v>63</v>
      </c>
      <c r="E74" t="s">
        <v>27</v>
      </c>
      <c r="F74" t="s">
        <v>27</v>
      </c>
      <c r="G74" t="s">
        <v>1197</v>
      </c>
      <c r="H74" t="s">
        <v>1195</v>
      </c>
      <c r="I74" t="s">
        <v>178</v>
      </c>
      <c r="J74" t="s">
        <v>189</v>
      </c>
      <c r="K74">
        <v>9</v>
      </c>
      <c r="L74" t="s">
        <v>1189</v>
      </c>
      <c r="M74" t="s">
        <v>1190</v>
      </c>
      <c r="N74">
        <v>16</v>
      </c>
      <c r="O74" t="s">
        <v>647</v>
      </c>
      <c r="P74">
        <v>17782</v>
      </c>
      <c r="Q74">
        <v>2</v>
      </c>
      <c r="R74">
        <v>1</v>
      </c>
      <c r="S74" t="s">
        <v>653</v>
      </c>
      <c r="T74" t="s">
        <v>1191</v>
      </c>
      <c r="U74" t="s">
        <v>653</v>
      </c>
      <c r="V74" t="s">
        <v>46</v>
      </c>
      <c r="W74" t="s">
        <v>1184</v>
      </c>
      <c r="X74">
        <v>3</v>
      </c>
    </row>
    <row r="75" spans="1:24" x14ac:dyDescent="0.25">
      <c r="A75">
        <v>74</v>
      </c>
      <c r="B75" t="s">
        <v>1282</v>
      </c>
      <c r="C75" t="s">
        <v>43</v>
      </c>
      <c r="D75">
        <v>33</v>
      </c>
      <c r="E75" t="s">
        <v>49</v>
      </c>
      <c r="F75" t="s">
        <v>40</v>
      </c>
      <c r="G75" t="s">
        <v>1200</v>
      </c>
      <c r="H75" t="s">
        <v>1192</v>
      </c>
      <c r="I75" t="s">
        <v>179</v>
      </c>
      <c r="J75" t="s">
        <v>182</v>
      </c>
      <c r="K75">
        <v>2</v>
      </c>
      <c r="L75" t="s">
        <v>1189</v>
      </c>
      <c r="M75" t="s">
        <v>1190</v>
      </c>
      <c r="N75">
        <v>33</v>
      </c>
      <c r="O75" t="s">
        <v>653</v>
      </c>
      <c r="P75">
        <v>44502</v>
      </c>
      <c r="Q75">
        <v>7</v>
      </c>
      <c r="R75">
        <v>1</v>
      </c>
      <c r="S75" t="s">
        <v>653</v>
      </c>
      <c r="T75" t="s">
        <v>1191</v>
      </c>
      <c r="U75" t="s">
        <v>647</v>
      </c>
      <c r="V75" t="s">
        <v>1180</v>
      </c>
      <c r="W75" t="s">
        <v>1184</v>
      </c>
      <c r="X75">
        <v>5</v>
      </c>
    </row>
    <row r="76" spans="1:24" x14ac:dyDescent="0.25">
      <c r="A76">
        <v>75</v>
      </c>
      <c r="B76" t="s">
        <v>1283</v>
      </c>
      <c r="C76" t="s">
        <v>43</v>
      </c>
      <c r="D76">
        <v>68</v>
      </c>
      <c r="E76" t="s">
        <v>49</v>
      </c>
      <c r="F76" t="s">
        <v>49</v>
      </c>
      <c r="G76" t="s">
        <v>1200</v>
      </c>
      <c r="H76" t="s">
        <v>1233</v>
      </c>
      <c r="I76" t="s">
        <v>180</v>
      </c>
      <c r="J76" t="s">
        <v>186</v>
      </c>
      <c r="K76">
        <v>4</v>
      </c>
      <c r="L76" t="s">
        <v>1189</v>
      </c>
      <c r="M76" t="s">
        <v>1190</v>
      </c>
      <c r="N76">
        <v>42</v>
      </c>
      <c r="O76" t="s">
        <v>647</v>
      </c>
      <c r="P76">
        <v>4936</v>
      </c>
      <c r="Q76">
        <v>3</v>
      </c>
      <c r="R76">
        <v>5</v>
      </c>
      <c r="S76" t="s">
        <v>653</v>
      </c>
      <c r="T76" t="s">
        <v>1191</v>
      </c>
      <c r="U76" t="s">
        <v>653</v>
      </c>
      <c r="V76" t="s">
        <v>1180</v>
      </c>
      <c r="W76" t="s">
        <v>1193</v>
      </c>
      <c r="X76">
        <v>5</v>
      </c>
    </row>
    <row r="77" spans="1:24" x14ac:dyDescent="0.25">
      <c r="A77">
        <v>76</v>
      </c>
      <c r="B77" t="s">
        <v>1284</v>
      </c>
      <c r="C77" t="s">
        <v>43</v>
      </c>
      <c r="D77">
        <v>77</v>
      </c>
      <c r="E77" t="s">
        <v>27</v>
      </c>
      <c r="F77" t="s">
        <v>40</v>
      </c>
      <c r="G77" t="s">
        <v>1200</v>
      </c>
      <c r="H77" t="s">
        <v>1211</v>
      </c>
      <c r="I77" t="s">
        <v>182</v>
      </c>
      <c r="J77" t="s">
        <v>186</v>
      </c>
      <c r="K77">
        <v>3</v>
      </c>
      <c r="L77" t="s">
        <v>1189</v>
      </c>
      <c r="M77" t="s">
        <v>1190</v>
      </c>
      <c r="N77">
        <v>47</v>
      </c>
      <c r="O77" t="s">
        <v>647</v>
      </c>
      <c r="P77">
        <v>45749</v>
      </c>
      <c r="Q77">
        <v>2</v>
      </c>
      <c r="R77">
        <v>2</v>
      </c>
      <c r="S77" t="s">
        <v>653</v>
      </c>
      <c r="T77" t="s">
        <v>1191</v>
      </c>
      <c r="U77" t="s">
        <v>653</v>
      </c>
      <c r="V77" t="s">
        <v>1180</v>
      </c>
      <c r="W77" t="s">
        <v>279</v>
      </c>
      <c r="X77">
        <v>3</v>
      </c>
    </row>
    <row r="78" spans="1:24" x14ac:dyDescent="0.25">
      <c r="A78">
        <v>77</v>
      </c>
      <c r="B78" t="s">
        <v>1285</v>
      </c>
      <c r="C78" t="s">
        <v>43</v>
      </c>
      <c r="D78">
        <v>9</v>
      </c>
      <c r="E78" t="s">
        <v>49</v>
      </c>
      <c r="F78" t="s">
        <v>40</v>
      </c>
      <c r="G78" t="s">
        <v>1187</v>
      </c>
      <c r="H78" t="s">
        <v>1265</v>
      </c>
      <c r="I78" t="s">
        <v>183</v>
      </c>
      <c r="J78" t="s">
        <v>195</v>
      </c>
      <c r="K78">
        <v>8</v>
      </c>
      <c r="L78" t="s">
        <v>1189</v>
      </c>
      <c r="M78" t="s">
        <v>1190</v>
      </c>
      <c r="N78">
        <v>11</v>
      </c>
      <c r="O78" t="s">
        <v>653</v>
      </c>
      <c r="P78">
        <v>42102</v>
      </c>
      <c r="Q78">
        <v>1</v>
      </c>
      <c r="R78">
        <v>1</v>
      </c>
      <c r="S78" t="s">
        <v>653</v>
      </c>
      <c r="T78" t="s">
        <v>1191</v>
      </c>
      <c r="U78" t="s">
        <v>653</v>
      </c>
      <c r="V78" t="s">
        <v>46</v>
      </c>
      <c r="W78" t="s">
        <v>279</v>
      </c>
      <c r="X78">
        <v>3</v>
      </c>
    </row>
    <row r="79" spans="1:24" x14ac:dyDescent="0.25">
      <c r="A79">
        <v>78</v>
      </c>
      <c r="B79" t="s">
        <v>1286</v>
      </c>
      <c r="C79" t="s">
        <v>43</v>
      </c>
      <c r="D79">
        <v>22</v>
      </c>
      <c r="E79" t="s">
        <v>27</v>
      </c>
      <c r="F79" t="s">
        <v>27</v>
      </c>
      <c r="G79" t="s">
        <v>1200</v>
      </c>
      <c r="H79" t="s">
        <v>1188</v>
      </c>
      <c r="I79" t="s">
        <v>184</v>
      </c>
      <c r="J79" t="s">
        <v>191</v>
      </c>
      <c r="K79">
        <v>5</v>
      </c>
      <c r="L79" t="s">
        <v>1189</v>
      </c>
      <c r="M79" t="s">
        <v>1190</v>
      </c>
      <c r="N79">
        <v>8</v>
      </c>
      <c r="O79" t="s">
        <v>653</v>
      </c>
      <c r="P79">
        <v>32914</v>
      </c>
      <c r="Q79">
        <v>7</v>
      </c>
      <c r="R79">
        <v>1</v>
      </c>
      <c r="S79" t="s">
        <v>653</v>
      </c>
      <c r="T79" t="s">
        <v>1191</v>
      </c>
      <c r="U79" t="s">
        <v>653</v>
      </c>
      <c r="V79" t="s">
        <v>1180</v>
      </c>
      <c r="W79" t="s">
        <v>279</v>
      </c>
      <c r="X79">
        <v>4</v>
      </c>
    </row>
    <row r="80" spans="1:24" x14ac:dyDescent="0.25">
      <c r="A80">
        <v>79</v>
      </c>
      <c r="B80" t="s">
        <v>1287</v>
      </c>
      <c r="C80" t="s">
        <v>30</v>
      </c>
      <c r="D80">
        <v>30</v>
      </c>
      <c r="E80" t="s">
        <v>66</v>
      </c>
      <c r="F80" t="s">
        <v>27</v>
      </c>
      <c r="G80" t="s">
        <v>1200</v>
      </c>
      <c r="H80" t="s">
        <v>1215</v>
      </c>
      <c r="I80" t="s">
        <v>186</v>
      </c>
      <c r="J80" t="s">
        <v>191</v>
      </c>
      <c r="K80">
        <v>4</v>
      </c>
      <c r="L80" t="s">
        <v>1189</v>
      </c>
      <c r="M80" t="s">
        <v>1190</v>
      </c>
      <c r="N80">
        <v>34</v>
      </c>
      <c r="O80" t="s">
        <v>647</v>
      </c>
      <c r="P80">
        <v>3523</v>
      </c>
      <c r="Q80">
        <v>7</v>
      </c>
      <c r="R80">
        <v>1</v>
      </c>
      <c r="S80" t="s">
        <v>653</v>
      </c>
      <c r="T80" t="s">
        <v>1191</v>
      </c>
      <c r="U80" t="s">
        <v>647</v>
      </c>
      <c r="V80" t="s">
        <v>46</v>
      </c>
      <c r="W80" t="s">
        <v>1193</v>
      </c>
      <c r="X80">
        <v>3</v>
      </c>
    </row>
    <row r="81" spans="1:24" x14ac:dyDescent="0.25">
      <c r="A81">
        <v>80</v>
      </c>
      <c r="B81" t="s">
        <v>1288</v>
      </c>
      <c r="C81" t="s">
        <v>43</v>
      </c>
      <c r="D81">
        <v>46</v>
      </c>
      <c r="E81" t="s">
        <v>49</v>
      </c>
      <c r="F81" t="s">
        <v>40</v>
      </c>
      <c r="G81" t="s">
        <v>1200</v>
      </c>
      <c r="H81" t="s">
        <v>1211</v>
      </c>
      <c r="I81" t="s">
        <v>187</v>
      </c>
      <c r="J81" t="s">
        <v>199</v>
      </c>
      <c r="K81">
        <v>8</v>
      </c>
      <c r="L81" t="s">
        <v>1189</v>
      </c>
      <c r="M81" t="s">
        <v>1190</v>
      </c>
      <c r="N81">
        <v>45</v>
      </c>
      <c r="O81" t="s">
        <v>647</v>
      </c>
      <c r="P81">
        <v>39723</v>
      </c>
      <c r="Q81">
        <v>2</v>
      </c>
      <c r="R81">
        <v>4</v>
      </c>
      <c r="S81" t="s">
        <v>647</v>
      </c>
      <c r="T81" t="s">
        <v>1191</v>
      </c>
      <c r="U81" t="s">
        <v>653</v>
      </c>
      <c r="V81" t="s">
        <v>46</v>
      </c>
      <c r="W81" t="s">
        <v>1184</v>
      </c>
      <c r="X81">
        <v>4</v>
      </c>
    </row>
    <row r="82" spans="1:24" x14ac:dyDescent="0.25">
      <c r="A82">
        <v>81</v>
      </c>
      <c r="B82" t="s">
        <v>1289</v>
      </c>
      <c r="C82" t="s">
        <v>43</v>
      </c>
      <c r="D82">
        <v>57</v>
      </c>
      <c r="E82" t="s">
        <v>66</v>
      </c>
      <c r="F82" t="s">
        <v>27</v>
      </c>
      <c r="G82" t="s">
        <v>1200</v>
      </c>
      <c r="H82" t="s">
        <v>1211</v>
      </c>
      <c r="I82" t="s">
        <v>188</v>
      </c>
      <c r="J82" t="s">
        <v>189</v>
      </c>
      <c r="K82">
        <v>1</v>
      </c>
      <c r="L82" t="s">
        <v>1189</v>
      </c>
      <c r="M82" t="s">
        <v>1190</v>
      </c>
      <c r="N82">
        <v>17</v>
      </c>
      <c r="O82" t="s">
        <v>647</v>
      </c>
      <c r="P82">
        <v>21755</v>
      </c>
      <c r="Q82">
        <v>7</v>
      </c>
      <c r="R82">
        <v>0</v>
      </c>
      <c r="S82" t="s">
        <v>647</v>
      </c>
      <c r="T82" t="s">
        <v>1191</v>
      </c>
      <c r="U82" t="s">
        <v>647</v>
      </c>
      <c r="V82" t="s">
        <v>1180</v>
      </c>
      <c r="W82" t="s">
        <v>1184</v>
      </c>
      <c r="X82">
        <v>5</v>
      </c>
    </row>
    <row r="83" spans="1:24" x14ac:dyDescent="0.25">
      <c r="A83">
        <v>82</v>
      </c>
      <c r="B83" t="s">
        <v>1290</v>
      </c>
      <c r="C83" t="s">
        <v>30</v>
      </c>
      <c r="D83">
        <v>45</v>
      </c>
      <c r="E83" t="s">
        <v>27</v>
      </c>
      <c r="F83" t="s">
        <v>27</v>
      </c>
      <c r="G83" t="s">
        <v>1197</v>
      </c>
      <c r="H83" t="s">
        <v>1198</v>
      </c>
      <c r="I83" t="s">
        <v>189</v>
      </c>
      <c r="J83" t="s">
        <v>205</v>
      </c>
      <c r="K83">
        <v>10</v>
      </c>
      <c r="L83" t="s">
        <v>1189</v>
      </c>
      <c r="M83" t="s">
        <v>1190</v>
      </c>
      <c r="N83">
        <v>12</v>
      </c>
      <c r="O83" t="s">
        <v>647</v>
      </c>
      <c r="P83">
        <v>24169</v>
      </c>
      <c r="Q83">
        <v>3</v>
      </c>
      <c r="R83">
        <v>2</v>
      </c>
      <c r="S83" t="s">
        <v>653</v>
      </c>
      <c r="T83" t="s">
        <v>1191</v>
      </c>
      <c r="U83" t="s">
        <v>653</v>
      </c>
      <c r="V83" t="s">
        <v>46</v>
      </c>
      <c r="W83" t="s">
        <v>1193</v>
      </c>
      <c r="X83">
        <v>5</v>
      </c>
    </row>
    <row r="84" spans="1:24" x14ac:dyDescent="0.25">
      <c r="A84">
        <v>83</v>
      </c>
      <c r="B84" t="s">
        <v>1291</v>
      </c>
      <c r="C84" t="s">
        <v>43</v>
      </c>
      <c r="D84">
        <v>11</v>
      </c>
      <c r="E84" t="s">
        <v>49</v>
      </c>
      <c r="F84" t="s">
        <v>27</v>
      </c>
      <c r="G84" t="s">
        <v>1200</v>
      </c>
      <c r="H84" t="s">
        <v>1220</v>
      </c>
      <c r="I84" t="s">
        <v>191</v>
      </c>
      <c r="J84" t="s">
        <v>205</v>
      </c>
      <c r="K84">
        <v>9</v>
      </c>
      <c r="L84" t="s">
        <v>1189</v>
      </c>
      <c r="M84" t="s">
        <v>1190</v>
      </c>
      <c r="N84">
        <v>17</v>
      </c>
      <c r="O84" t="s">
        <v>647</v>
      </c>
      <c r="P84">
        <v>29254</v>
      </c>
      <c r="Q84">
        <v>5</v>
      </c>
      <c r="R84">
        <v>5</v>
      </c>
      <c r="S84" t="s">
        <v>647</v>
      </c>
      <c r="T84" t="s">
        <v>1191</v>
      </c>
      <c r="U84" t="s">
        <v>647</v>
      </c>
      <c r="V84" t="s">
        <v>1180</v>
      </c>
      <c r="W84" t="s">
        <v>1193</v>
      </c>
      <c r="X84">
        <v>3</v>
      </c>
    </row>
    <row r="85" spans="1:24" x14ac:dyDescent="0.25">
      <c r="A85">
        <v>84</v>
      </c>
      <c r="B85" t="s">
        <v>1292</v>
      </c>
      <c r="C85" t="s">
        <v>30</v>
      </c>
      <c r="D85">
        <v>12</v>
      </c>
      <c r="E85" t="s">
        <v>27</v>
      </c>
      <c r="F85" t="s">
        <v>27</v>
      </c>
      <c r="G85" t="s">
        <v>1197</v>
      </c>
      <c r="H85" t="s">
        <v>1198</v>
      </c>
      <c r="I85" t="s">
        <v>193</v>
      </c>
      <c r="J85" t="s">
        <v>208</v>
      </c>
      <c r="K85">
        <v>10</v>
      </c>
      <c r="L85" t="s">
        <v>1189</v>
      </c>
      <c r="M85" t="s">
        <v>1190</v>
      </c>
      <c r="N85">
        <v>6</v>
      </c>
      <c r="O85" t="s">
        <v>647</v>
      </c>
      <c r="P85">
        <v>4702</v>
      </c>
      <c r="Q85">
        <v>1</v>
      </c>
      <c r="R85">
        <v>5</v>
      </c>
      <c r="S85" t="s">
        <v>647</v>
      </c>
      <c r="T85" t="s">
        <v>1191</v>
      </c>
      <c r="U85" t="s">
        <v>647</v>
      </c>
      <c r="V85" t="s">
        <v>1180</v>
      </c>
      <c r="W85" t="s">
        <v>1193</v>
      </c>
      <c r="X85">
        <v>3</v>
      </c>
    </row>
    <row r="86" spans="1:24" x14ac:dyDescent="0.25">
      <c r="A86">
        <v>85</v>
      </c>
      <c r="B86" t="s">
        <v>1293</v>
      </c>
      <c r="C86" t="s">
        <v>30</v>
      </c>
      <c r="D86">
        <v>38</v>
      </c>
      <c r="E86" t="s">
        <v>27</v>
      </c>
      <c r="F86" t="s">
        <v>27</v>
      </c>
      <c r="G86" t="s">
        <v>1187</v>
      </c>
      <c r="H86" t="s">
        <v>1195</v>
      </c>
      <c r="I86" t="s">
        <v>195</v>
      </c>
      <c r="J86" t="s">
        <v>203</v>
      </c>
      <c r="K86">
        <v>6</v>
      </c>
      <c r="L86" t="s">
        <v>1189</v>
      </c>
      <c r="M86" t="s">
        <v>1190</v>
      </c>
      <c r="N86">
        <v>48</v>
      </c>
      <c r="O86" t="s">
        <v>653</v>
      </c>
      <c r="P86">
        <v>35295</v>
      </c>
      <c r="Q86">
        <v>1</v>
      </c>
      <c r="R86">
        <v>2</v>
      </c>
      <c r="S86" t="s">
        <v>647</v>
      </c>
      <c r="T86" t="s">
        <v>1191</v>
      </c>
      <c r="U86" t="s">
        <v>653</v>
      </c>
      <c r="V86" t="s">
        <v>1180</v>
      </c>
      <c r="W86" t="s">
        <v>1193</v>
      </c>
      <c r="X86">
        <v>4</v>
      </c>
    </row>
    <row r="87" spans="1:24" x14ac:dyDescent="0.25">
      <c r="A87">
        <v>86</v>
      </c>
      <c r="B87" t="s">
        <v>1294</v>
      </c>
      <c r="C87" t="s">
        <v>43</v>
      </c>
      <c r="D87">
        <v>22</v>
      </c>
      <c r="E87" t="s">
        <v>27</v>
      </c>
      <c r="F87" t="s">
        <v>49</v>
      </c>
      <c r="G87" t="s">
        <v>1187</v>
      </c>
      <c r="H87" t="s">
        <v>1213</v>
      </c>
      <c r="I87" t="s">
        <v>196</v>
      </c>
      <c r="J87" t="s">
        <v>200</v>
      </c>
      <c r="K87">
        <v>3</v>
      </c>
      <c r="L87" t="s">
        <v>1189</v>
      </c>
      <c r="M87" t="s">
        <v>1190</v>
      </c>
      <c r="N87">
        <v>18</v>
      </c>
      <c r="O87" t="s">
        <v>653</v>
      </c>
      <c r="P87">
        <v>20989</v>
      </c>
      <c r="Q87">
        <v>1</v>
      </c>
      <c r="R87">
        <v>0</v>
      </c>
      <c r="S87" t="s">
        <v>647</v>
      </c>
      <c r="T87" t="s">
        <v>1191</v>
      </c>
      <c r="U87" t="s">
        <v>647</v>
      </c>
      <c r="V87" t="s">
        <v>46</v>
      </c>
      <c r="W87" t="s">
        <v>1184</v>
      </c>
      <c r="X87">
        <v>3</v>
      </c>
    </row>
    <row r="88" spans="1:24" x14ac:dyDescent="0.25">
      <c r="A88">
        <v>87</v>
      </c>
      <c r="B88" t="s">
        <v>1295</v>
      </c>
      <c r="C88" t="s">
        <v>30</v>
      </c>
      <c r="D88">
        <v>35</v>
      </c>
      <c r="E88" t="s">
        <v>66</v>
      </c>
      <c r="F88" t="s">
        <v>40</v>
      </c>
      <c r="G88" t="s">
        <v>1200</v>
      </c>
      <c r="H88" t="s">
        <v>1249</v>
      </c>
      <c r="I88" t="s">
        <v>197</v>
      </c>
      <c r="J88" t="s">
        <v>209</v>
      </c>
      <c r="K88">
        <v>8</v>
      </c>
      <c r="L88" t="s">
        <v>1189</v>
      </c>
      <c r="M88" t="s">
        <v>1190</v>
      </c>
      <c r="N88">
        <v>25</v>
      </c>
      <c r="O88" t="s">
        <v>647</v>
      </c>
      <c r="P88">
        <v>29962</v>
      </c>
      <c r="Q88">
        <v>1</v>
      </c>
      <c r="R88">
        <v>1</v>
      </c>
      <c r="S88" t="s">
        <v>647</v>
      </c>
      <c r="T88" t="s">
        <v>1191</v>
      </c>
      <c r="U88" t="s">
        <v>647</v>
      </c>
      <c r="V88" t="s">
        <v>46</v>
      </c>
      <c r="W88" t="s">
        <v>1193</v>
      </c>
      <c r="X88">
        <v>5</v>
      </c>
    </row>
    <row r="89" spans="1:24" x14ac:dyDescent="0.25">
      <c r="A89">
        <v>88</v>
      </c>
      <c r="B89" t="s">
        <v>1296</v>
      </c>
      <c r="C89" t="s">
        <v>43</v>
      </c>
      <c r="D89">
        <v>9</v>
      </c>
      <c r="E89" t="s">
        <v>49</v>
      </c>
      <c r="F89" t="s">
        <v>40</v>
      </c>
      <c r="G89" t="s">
        <v>1200</v>
      </c>
      <c r="H89" t="s">
        <v>1195</v>
      </c>
      <c r="I89" t="s">
        <v>199</v>
      </c>
      <c r="J89" t="s">
        <v>214</v>
      </c>
      <c r="K89">
        <v>10</v>
      </c>
      <c r="L89" t="s">
        <v>1189</v>
      </c>
      <c r="M89" t="s">
        <v>1190</v>
      </c>
      <c r="N89">
        <v>15</v>
      </c>
      <c r="O89" t="s">
        <v>653</v>
      </c>
      <c r="P89">
        <v>44446</v>
      </c>
      <c r="Q89">
        <v>5</v>
      </c>
      <c r="R89">
        <v>2</v>
      </c>
      <c r="S89" t="s">
        <v>647</v>
      </c>
      <c r="T89" t="s">
        <v>1191</v>
      </c>
      <c r="U89" t="s">
        <v>647</v>
      </c>
      <c r="V89" t="s">
        <v>46</v>
      </c>
      <c r="W89" t="s">
        <v>279</v>
      </c>
      <c r="X89">
        <v>4</v>
      </c>
    </row>
    <row r="90" spans="1:24" x14ac:dyDescent="0.25">
      <c r="A90">
        <v>89</v>
      </c>
      <c r="B90" t="s">
        <v>1297</v>
      </c>
      <c r="C90" t="s">
        <v>43</v>
      </c>
      <c r="D90">
        <v>59</v>
      </c>
      <c r="E90" t="s">
        <v>66</v>
      </c>
      <c r="F90" t="s">
        <v>27</v>
      </c>
      <c r="G90" t="s">
        <v>1187</v>
      </c>
      <c r="H90" t="s">
        <v>1211</v>
      </c>
      <c r="I90" t="s">
        <v>200</v>
      </c>
      <c r="J90" t="s">
        <v>205</v>
      </c>
      <c r="K90">
        <v>3</v>
      </c>
      <c r="L90" t="s">
        <v>1189</v>
      </c>
      <c r="M90" t="s">
        <v>1190</v>
      </c>
      <c r="N90">
        <v>7</v>
      </c>
      <c r="O90" t="s">
        <v>653</v>
      </c>
      <c r="P90">
        <v>27276</v>
      </c>
      <c r="Q90">
        <v>6</v>
      </c>
      <c r="R90">
        <v>0</v>
      </c>
      <c r="S90" t="s">
        <v>653</v>
      </c>
      <c r="T90" t="s">
        <v>1191</v>
      </c>
      <c r="U90" t="s">
        <v>647</v>
      </c>
      <c r="V90" t="s">
        <v>46</v>
      </c>
      <c r="W90" t="s">
        <v>279</v>
      </c>
      <c r="X90">
        <v>3</v>
      </c>
    </row>
    <row r="91" spans="1:24" x14ac:dyDescent="0.25">
      <c r="A91">
        <v>90</v>
      </c>
      <c r="B91" t="s">
        <v>1298</v>
      </c>
      <c r="C91" t="s">
        <v>43</v>
      </c>
      <c r="D91">
        <v>55</v>
      </c>
      <c r="E91" t="s">
        <v>49</v>
      </c>
      <c r="F91" t="s">
        <v>40</v>
      </c>
      <c r="G91" t="s">
        <v>1187</v>
      </c>
      <c r="H91" t="s">
        <v>1233</v>
      </c>
      <c r="I91" t="s">
        <v>201</v>
      </c>
      <c r="J91" t="s">
        <v>208</v>
      </c>
      <c r="K91">
        <v>4</v>
      </c>
      <c r="L91" t="s">
        <v>1189</v>
      </c>
      <c r="M91" t="s">
        <v>1190</v>
      </c>
      <c r="N91">
        <v>24</v>
      </c>
      <c r="O91" t="s">
        <v>647</v>
      </c>
      <c r="P91">
        <v>12190</v>
      </c>
      <c r="Q91">
        <v>7</v>
      </c>
      <c r="R91">
        <v>0</v>
      </c>
      <c r="S91" t="s">
        <v>647</v>
      </c>
      <c r="T91" t="s">
        <v>1191</v>
      </c>
      <c r="U91" t="s">
        <v>653</v>
      </c>
      <c r="V91" t="s">
        <v>46</v>
      </c>
      <c r="W91" t="s">
        <v>1193</v>
      </c>
      <c r="X91">
        <v>4</v>
      </c>
    </row>
    <row r="92" spans="1:24" x14ac:dyDescent="0.25">
      <c r="A92">
        <v>91</v>
      </c>
      <c r="B92" t="s">
        <v>1299</v>
      </c>
      <c r="C92" t="s">
        <v>43</v>
      </c>
      <c r="D92">
        <v>82</v>
      </c>
      <c r="E92" t="s">
        <v>49</v>
      </c>
      <c r="F92" t="s">
        <v>40</v>
      </c>
      <c r="G92" t="s">
        <v>1187</v>
      </c>
      <c r="H92" t="s">
        <v>1201</v>
      </c>
      <c r="I92" t="s">
        <v>203</v>
      </c>
      <c r="J92" t="s">
        <v>208</v>
      </c>
      <c r="K92">
        <v>3</v>
      </c>
      <c r="L92" t="s">
        <v>1189</v>
      </c>
      <c r="M92" t="s">
        <v>1190</v>
      </c>
      <c r="N92">
        <v>47</v>
      </c>
      <c r="O92" t="s">
        <v>647</v>
      </c>
      <c r="P92">
        <v>46067</v>
      </c>
      <c r="Q92">
        <v>2</v>
      </c>
      <c r="R92">
        <v>2</v>
      </c>
      <c r="S92" t="s">
        <v>647</v>
      </c>
      <c r="T92" t="s">
        <v>1191</v>
      </c>
      <c r="U92" t="s">
        <v>647</v>
      </c>
      <c r="V92" t="s">
        <v>1180</v>
      </c>
      <c r="W92" t="s">
        <v>1193</v>
      </c>
      <c r="X92">
        <v>5</v>
      </c>
    </row>
    <row r="93" spans="1:24" x14ac:dyDescent="0.25">
      <c r="A93">
        <v>92</v>
      </c>
      <c r="B93" t="s">
        <v>1300</v>
      </c>
      <c r="C93" t="s">
        <v>43</v>
      </c>
      <c r="D93">
        <v>85</v>
      </c>
      <c r="E93" t="s">
        <v>66</v>
      </c>
      <c r="F93" t="s">
        <v>27</v>
      </c>
      <c r="G93" t="s">
        <v>1187</v>
      </c>
      <c r="H93" t="s">
        <v>1220</v>
      </c>
      <c r="I93" t="s">
        <v>205</v>
      </c>
      <c r="J93" t="s">
        <v>212</v>
      </c>
      <c r="K93">
        <v>5</v>
      </c>
      <c r="L93" t="s">
        <v>1189</v>
      </c>
      <c r="M93" t="s">
        <v>1190</v>
      </c>
      <c r="N93">
        <v>45</v>
      </c>
      <c r="O93" t="s">
        <v>653</v>
      </c>
      <c r="P93">
        <v>33324</v>
      </c>
      <c r="Q93">
        <v>7</v>
      </c>
      <c r="R93">
        <v>5</v>
      </c>
      <c r="S93" t="s">
        <v>647</v>
      </c>
      <c r="T93" t="s">
        <v>1191</v>
      </c>
      <c r="U93" t="s">
        <v>647</v>
      </c>
      <c r="V93" t="s">
        <v>46</v>
      </c>
      <c r="W93" t="s">
        <v>1193</v>
      </c>
      <c r="X93">
        <v>4</v>
      </c>
    </row>
    <row r="94" spans="1:24" x14ac:dyDescent="0.25">
      <c r="A94">
        <v>93</v>
      </c>
      <c r="B94" t="s">
        <v>1301</v>
      </c>
      <c r="C94" t="s">
        <v>43</v>
      </c>
      <c r="D94">
        <v>18</v>
      </c>
      <c r="E94" t="s">
        <v>27</v>
      </c>
      <c r="F94" t="s">
        <v>40</v>
      </c>
      <c r="G94" t="s">
        <v>1200</v>
      </c>
      <c r="H94" t="s">
        <v>1217</v>
      </c>
      <c r="I94" t="s">
        <v>206</v>
      </c>
      <c r="J94" t="s">
        <v>212</v>
      </c>
      <c r="K94">
        <v>4</v>
      </c>
      <c r="L94" t="s">
        <v>1189</v>
      </c>
      <c r="M94" t="s">
        <v>1190</v>
      </c>
      <c r="N94">
        <v>44</v>
      </c>
      <c r="O94" t="s">
        <v>653</v>
      </c>
      <c r="P94">
        <v>11719</v>
      </c>
      <c r="Q94">
        <v>2</v>
      </c>
      <c r="R94">
        <v>5</v>
      </c>
      <c r="S94" t="s">
        <v>653</v>
      </c>
      <c r="T94" t="s">
        <v>1191</v>
      </c>
      <c r="U94" t="s">
        <v>647</v>
      </c>
      <c r="V94" t="s">
        <v>46</v>
      </c>
      <c r="W94" t="s">
        <v>1193</v>
      </c>
      <c r="X94">
        <v>3</v>
      </c>
    </row>
    <row r="95" spans="1:24" x14ac:dyDescent="0.25">
      <c r="A95">
        <v>94</v>
      </c>
      <c r="B95" t="s">
        <v>1302</v>
      </c>
      <c r="C95" t="s">
        <v>30</v>
      </c>
      <c r="D95">
        <v>41</v>
      </c>
      <c r="E95" t="s">
        <v>49</v>
      </c>
      <c r="F95" t="s">
        <v>49</v>
      </c>
      <c r="G95" t="s">
        <v>1187</v>
      </c>
      <c r="H95" t="s">
        <v>1211</v>
      </c>
      <c r="I95" t="s">
        <v>208</v>
      </c>
      <c r="J95" t="s">
        <v>219</v>
      </c>
      <c r="K95">
        <v>8</v>
      </c>
      <c r="L95" t="s">
        <v>1189</v>
      </c>
      <c r="M95" t="s">
        <v>1190</v>
      </c>
      <c r="N95">
        <v>41</v>
      </c>
      <c r="O95" t="s">
        <v>653</v>
      </c>
      <c r="P95">
        <v>28029</v>
      </c>
      <c r="Q95">
        <v>3</v>
      </c>
      <c r="R95">
        <v>5</v>
      </c>
      <c r="S95" t="s">
        <v>647</v>
      </c>
      <c r="T95" t="s">
        <v>1191</v>
      </c>
      <c r="U95" t="s">
        <v>647</v>
      </c>
      <c r="V95" t="s">
        <v>46</v>
      </c>
      <c r="W95" t="s">
        <v>1193</v>
      </c>
      <c r="X95">
        <v>5</v>
      </c>
    </row>
    <row r="96" spans="1:24" x14ac:dyDescent="0.25">
      <c r="A96">
        <v>95</v>
      </c>
      <c r="B96" t="s">
        <v>1303</v>
      </c>
      <c r="C96" t="s">
        <v>43</v>
      </c>
      <c r="D96">
        <v>17</v>
      </c>
      <c r="E96" t="s">
        <v>49</v>
      </c>
      <c r="F96" t="s">
        <v>40</v>
      </c>
      <c r="G96" t="s">
        <v>1187</v>
      </c>
      <c r="H96" t="s">
        <v>1217</v>
      </c>
      <c r="I96" t="s">
        <v>209</v>
      </c>
      <c r="J96" t="s">
        <v>222</v>
      </c>
      <c r="K96">
        <v>9</v>
      </c>
      <c r="L96" t="s">
        <v>1189</v>
      </c>
      <c r="M96" t="s">
        <v>1190</v>
      </c>
      <c r="N96">
        <v>38</v>
      </c>
      <c r="O96" t="s">
        <v>653</v>
      </c>
      <c r="P96">
        <v>32412</v>
      </c>
      <c r="Q96">
        <v>5</v>
      </c>
      <c r="R96">
        <v>1</v>
      </c>
      <c r="S96" t="s">
        <v>653</v>
      </c>
      <c r="T96" t="s">
        <v>1191</v>
      </c>
      <c r="U96" t="s">
        <v>653</v>
      </c>
      <c r="V96" t="s">
        <v>1180</v>
      </c>
      <c r="W96" t="s">
        <v>279</v>
      </c>
      <c r="X96">
        <v>4</v>
      </c>
    </row>
    <row r="97" spans="1:24" x14ac:dyDescent="0.25">
      <c r="A97">
        <v>96</v>
      </c>
      <c r="B97" t="s">
        <v>1304</v>
      </c>
      <c r="C97" t="s">
        <v>43</v>
      </c>
      <c r="D97">
        <v>34</v>
      </c>
      <c r="E97" t="s">
        <v>66</v>
      </c>
      <c r="F97" t="s">
        <v>27</v>
      </c>
      <c r="G97" t="s">
        <v>1197</v>
      </c>
      <c r="H97" t="s">
        <v>1220</v>
      </c>
      <c r="I97" t="s">
        <v>211</v>
      </c>
      <c r="J97" t="s">
        <v>222</v>
      </c>
      <c r="K97">
        <v>8</v>
      </c>
      <c r="L97" t="s">
        <v>1189</v>
      </c>
      <c r="M97" t="s">
        <v>1190</v>
      </c>
      <c r="N97">
        <v>38</v>
      </c>
      <c r="O97" t="s">
        <v>647</v>
      </c>
      <c r="P97">
        <v>40927</v>
      </c>
      <c r="Q97">
        <v>8</v>
      </c>
      <c r="R97">
        <v>4</v>
      </c>
      <c r="S97" t="s">
        <v>653</v>
      </c>
      <c r="T97" t="s">
        <v>1191</v>
      </c>
      <c r="U97" t="s">
        <v>647</v>
      </c>
      <c r="V97" t="s">
        <v>1180</v>
      </c>
      <c r="W97" t="s">
        <v>1193</v>
      </c>
      <c r="X97">
        <v>5</v>
      </c>
    </row>
    <row r="98" spans="1:24" x14ac:dyDescent="0.25">
      <c r="A98">
        <v>97</v>
      </c>
      <c r="B98" t="s">
        <v>1305</v>
      </c>
      <c r="C98" t="s">
        <v>30</v>
      </c>
      <c r="D98">
        <v>67</v>
      </c>
      <c r="E98" t="s">
        <v>27</v>
      </c>
      <c r="F98" t="s">
        <v>27</v>
      </c>
      <c r="G98" t="s">
        <v>1200</v>
      </c>
      <c r="H98" t="s">
        <v>1239</v>
      </c>
      <c r="I98" t="s">
        <v>212</v>
      </c>
      <c r="J98" t="s">
        <v>223</v>
      </c>
      <c r="K98">
        <v>8</v>
      </c>
      <c r="L98" t="s">
        <v>1189</v>
      </c>
      <c r="M98" t="s">
        <v>1190</v>
      </c>
      <c r="N98">
        <v>32</v>
      </c>
      <c r="O98" t="s">
        <v>653</v>
      </c>
      <c r="P98">
        <v>26282</v>
      </c>
      <c r="Q98">
        <v>2</v>
      </c>
      <c r="R98">
        <v>4</v>
      </c>
      <c r="S98" t="s">
        <v>647</v>
      </c>
      <c r="T98" t="s">
        <v>1191</v>
      </c>
      <c r="U98" t="s">
        <v>653</v>
      </c>
      <c r="V98" t="s">
        <v>1180</v>
      </c>
      <c r="W98" t="s">
        <v>1184</v>
      </c>
      <c r="X98">
        <v>3</v>
      </c>
    </row>
    <row r="99" spans="1:24" x14ac:dyDescent="0.25">
      <c r="A99">
        <v>98</v>
      </c>
      <c r="B99" t="s">
        <v>1306</v>
      </c>
      <c r="C99" t="s">
        <v>43</v>
      </c>
      <c r="D99">
        <v>23</v>
      </c>
      <c r="E99" t="s">
        <v>66</v>
      </c>
      <c r="F99" t="s">
        <v>27</v>
      </c>
      <c r="G99" t="s">
        <v>1187</v>
      </c>
      <c r="H99" t="s">
        <v>1201</v>
      </c>
      <c r="I99" t="s">
        <v>214</v>
      </c>
      <c r="J99" t="s">
        <v>225</v>
      </c>
      <c r="K99">
        <v>8</v>
      </c>
      <c r="L99" t="s">
        <v>1189</v>
      </c>
      <c r="M99" t="s">
        <v>1190</v>
      </c>
      <c r="N99">
        <v>46</v>
      </c>
      <c r="O99" t="s">
        <v>653</v>
      </c>
      <c r="P99">
        <v>18360</v>
      </c>
      <c r="Q99">
        <v>7</v>
      </c>
      <c r="R99">
        <v>2</v>
      </c>
      <c r="S99" t="s">
        <v>653</v>
      </c>
      <c r="T99" t="s">
        <v>1191</v>
      </c>
      <c r="U99" t="s">
        <v>647</v>
      </c>
      <c r="V99" t="s">
        <v>46</v>
      </c>
      <c r="W99" t="s">
        <v>279</v>
      </c>
      <c r="X99">
        <v>3</v>
      </c>
    </row>
    <row r="100" spans="1:24" x14ac:dyDescent="0.25">
      <c r="A100">
        <v>99</v>
      </c>
      <c r="B100" t="s">
        <v>1307</v>
      </c>
      <c r="C100" t="s">
        <v>43</v>
      </c>
      <c r="D100">
        <v>60</v>
      </c>
      <c r="E100" t="s">
        <v>27</v>
      </c>
      <c r="F100" t="s">
        <v>40</v>
      </c>
      <c r="G100" t="s">
        <v>1187</v>
      </c>
      <c r="H100" t="s">
        <v>1211</v>
      </c>
      <c r="I100" t="s">
        <v>215</v>
      </c>
      <c r="J100" t="s">
        <v>219</v>
      </c>
      <c r="K100">
        <v>3</v>
      </c>
      <c r="L100" t="s">
        <v>1189</v>
      </c>
      <c r="M100" t="s">
        <v>1190</v>
      </c>
      <c r="N100">
        <v>50</v>
      </c>
      <c r="O100" t="s">
        <v>647</v>
      </c>
      <c r="P100">
        <v>24853</v>
      </c>
      <c r="Q100">
        <v>7</v>
      </c>
      <c r="R100">
        <v>2</v>
      </c>
      <c r="S100" t="s">
        <v>653</v>
      </c>
      <c r="T100" t="s">
        <v>1191</v>
      </c>
      <c r="U100" t="s">
        <v>653</v>
      </c>
      <c r="V100" t="s">
        <v>1180</v>
      </c>
      <c r="W100" t="s">
        <v>1193</v>
      </c>
      <c r="X100">
        <v>3</v>
      </c>
    </row>
    <row r="101" spans="1:24" x14ac:dyDescent="0.25">
      <c r="A101">
        <v>100</v>
      </c>
      <c r="B101" t="s">
        <v>1308</v>
      </c>
      <c r="C101" t="s">
        <v>43</v>
      </c>
      <c r="D101">
        <v>58</v>
      </c>
      <c r="E101" t="s">
        <v>49</v>
      </c>
      <c r="F101" t="s">
        <v>49</v>
      </c>
      <c r="G101" t="s">
        <v>1197</v>
      </c>
      <c r="H101" t="s">
        <v>1208</v>
      </c>
      <c r="I101" t="s">
        <v>217</v>
      </c>
      <c r="J101" t="s">
        <v>226</v>
      </c>
      <c r="K101">
        <v>7</v>
      </c>
      <c r="L101" t="s">
        <v>1189</v>
      </c>
      <c r="M101" t="s">
        <v>1190</v>
      </c>
      <c r="N101">
        <v>42</v>
      </c>
      <c r="O101" t="s">
        <v>653</v>
      </c>
      <c r="P101">
        <v>19409</v>
      </c>
      <c r="Q101">
        <v>1</v>
      </c>
      <c r="R101">
        <v>2</v>
      </c>
      <c r="S101" t="s">
        <v>653</v>
      </c>
      <c r="T101" t="s">
        <v>1191</v>
      </c>
      <c r="U101" t="s">
        <v>647</v>
      </c>
      <c r="V101" t="s">
        <v>1180</v>
      </c>
      <c r="W101" t="s">
        <v>279</v>
      </c>
      <c r="X101">
        <v>4</v>
      </c>
    </row>
    <row r="102" spans="1:24" x14ac:dyDescent="0.25">
      <c r="A102">
        <v>101</v>
      </c>
      <c r="B102" t="s">
        <v>1309</v>
      </c>
      <c r="C102" t="s">
        <v>43</v>
      </c>
      <c r="D102">
        <v>46</v>
      </c>
      <c r="E102" t="s">
        <v>49</v>
      </c>
      <c r="F102" t="s">
        <v>40</v>
      </c>
      <c r="G102" t="s">
        <v>1200</v>
      </c>
      <c r="H102" t="s">
        <v>1203</v>
      </c>
      <c r="I102" t="s">
        <v>218</v>
      </c>
      <c r="J102" t="s">
        <v>230</v>
      </c>
      <c r="K102">
        <v>9</v>
      </c>
      <c r="L102" t="s">
        <v>1189</v>
      </c>
      <c r="M102" t="s">
        <v>1190</v>
      </c>
      <c r="N102">
        <v>37</v>
      </c>
      <c r="O102" t="s">
        <v>653</v>
      </c>
      <c r="P102">
        <v>5583</v>
      </c>
      <c r="Q102">
        <v>8</v>
      </c>
      <c r="R102">
        <v>2</v>
      </c>
      <c r="S102" t="s">
        <v>653</v>
      </c>
      <c r="T102" t="s">
        <v>1191</v>
      </c>
      <c r="U102" t="s">
        <v>653</v>
      </c>
      <c r="V102" t="s">
        <v>1180</v>
      </c>
      <c r="W102" t="s">
        <v>1193</v>
      </c>
      <c r="X102">
        <v>3</v>
      </c>
    </row>
    <row r="103" spans="1:24" x14ac:dyDescent="0.25">
      <c r="A103">
        <v>102</v>
      </c>
      <c r="B103" t="s">
        <v>1310</v>
      </c>
      <c r="C103" t="s">
        <v>43</v>
      </c>
      <c r="D103">
        <v>16</v>
      </c>
      <c r="E103" t="s">
        <v>49</v>
      </c>
      <c r="F103" t="s">
        <v>49</v>
      </c>
      <c r="G103" t="s">
        <v>1200</v>
      </c>
      <c r="H103" t="s">
        <v>1249</v>
      </c>
      <c r="I103" t="s">
        <v>219</v>
      </c>
      <c r="J103" t="s">
        <v>229</v>
      </c>
      <c r="K103">
        <v>7</v>
      </c>
      <c r="L103" t="s">
        <v>1189</v>
      </c>
      <c r="M103" t="s">
        <v>1190</v>
      </c>
      <c r="N103">
        <v>32</v>
      </c>
      <c r="O103" t="s">
        <v>647</v>
      </c>
      <c r="P103">
        <v>24738</v>
      </c>
      <c r="Q103">
        <v>7</v>
      </c>
      <c r="R103">
        <v>4</v>
      </c>
      <c r="S103" t="s">
        <v>653</v>
      </c>
      <c r="T103" t="s">
        <v>1191</v>
      </c>
      <c r="U103" t="s">
        <v>647</v>
      </c>
      <c r="V103" t="s">
        <v>46</v>
      </c>
      <c r="W103" t="s">
        <v>1193</v>
      </c>
      <c r="X103">
        <v>4</v>
      </c>
    </row>
    <row r="104" spans="1:24" x14ac:dyDescent="0.25">
      <c r="A104">
        <v>103</v>
      </c>
      <c r="B104" t="s">
        <v>1311</v>
      </c>
      <c r="C104" t="s">
        <v>30</v>
      </c>
      <c r="D104">
        <v>18</v>
      </c>
      <c r="E104" t="s">
        <v>66</v>
      </c>
      <c r="F104" t="s">
        <v>49</v>
      </c>
      <c r="G104" t="s">
        <v>1187</v>
      </c>
      <c r="H104" t="s">
        <v>1205</v>
      </c>
      <c r="I104" t="s">
        <v>220</v>
      </c>
      <c r="J104" t="s">
        <v>231</v>
      </c>
      <c r="K104">
        <v>8</v>
      </c>
      <c r="L104" t="s">
        <v>1189</v>
      </c>
      <c r="M104" t="s">
        <v>1190</v>
      </c>
      <c r="N104">
        <v>27</v>
      </c>
      <c r="O104" t="s">
        <v>647</v>
      </c>
      <c r="P104">
        <v>32073</v>
      </c>
      <c r="Q104">
        <v>5</v>
      </c>
      <c r="R104">
        <v>5</v>
      </c>
      <c r="S104" t="s">
        <v>647</v>
      </c>
      <c r="T104" t="s">
        <v>1191</v>
      </c>
      <c r="U104" t="s">
        <v>647</v>
      </c>
      <c r="V104" t="s">
        <v>46</v>
      </c>
      <c r="W104" t="s">
        <v>279</v>
      </c>
      <c r="X104">
        <v>5</v>
      </c>
    </row>
    <row r="105" spans="1:24" x14ac:dyDescent="0.25">
      <c r="A105">
        <v>104</v>
      </c>
      <c r="B105" t="s">
        <v>1312</v>
      </c>
      <c r="C105" t="s">
        <v>30</v>
      </c>
      <c r="D105">
        <v>76</v>
      </c>
      <c r="E105" t="s">
        <v>66</v>
      </c>
      <c r="F105" t="s">
        <v>27</v>
      </c>
      <c r="G105" t="s">
        <v>1187</v>
      </c>
      <c r="H105" t="s">
        <v>1208</v>
      </c>
      <c r="I105" t="s">
        <v>222</v>
      </c>
      <c r="J105" t="s">
        <v>235</v>
      </c>
      <c r="K105">
        <v>10</v>
      </c>
      <c r="L105" t="s">
        <v>1189</v>
      </c>
      <c r="M105" t="s">
        <v>1190</v>
      </c>
      <c r="N105">
        <v>5</v>
      </c>
      <c r="O105" t="s">
        <v>653</v>
      </c>
      <c r="P105">
        <v>9975</v>
      </c>
      <c r="Q105">
        <v>8</v>
      </c>
      <c r="R105">
        <v>3</v>
      </c>
      <c r="S105" t="s">
        <v>647</v>
      </c>
      <c r="T105" t="s">
        <v>1191</v>
      </c>
      <c r="U105" t="s">
        <v>647</v>
      </c>
      <c r="V105" t="s">
        <v>1180</v>
      </c>
      <c r="W105" t="s">
        <v>279</v>
      </c>
      <c r="X105">
        <v>5</v>
      </c>
    </row>
    <row r="106" spans="1:24" x14ac:dyDescent="0.25">
      <c r="A106">
        <v>105</v>
      </c>
      <c r="B106" t="s">
        <v>1313</v>
      </c>
      <c r="C106" t="s">
        <v>43</v>
      </c>
      <c r="D106">
        <v>67</v>
      </c>
      <c r="E106" t="s">
        <v>49</v>
      </c>
      <c r="F106" t="s">
        <v>27</v>
      </c>
      <c r="G106" t="s">
        <v>1197</v>
      </c>
      <c r="H106" t="s">
        <v>1233</v>
      </c>
      <c r="I106" t="s">
        <v>223</v>
      </c>
      <c r="J106" t="s">
        <v>236</v>
      </c>
      <c r="K106">
        <v>10</v>
      </c>
      <c r="L106" t="s">
        <v>1189</v>
      </c>
      <c r="M106" t="s">
        <v>1190</v>
      </c>
      <c r="N106">
        <v>46</v>
      </c>
      <c r="O106" t="s">
        <v>647</v>
      </c>
      <c r="P106">
        <v>45542</v>
      </c>
      <c r="Q106">
        <v>2</v>
      </c>
      <c r="R106">
        <v>4</v>
      </c>
      <c r="S106" t="s">
        <v>653</v>
      </c>
      <c r="T106" t="s">
        <v>1191</v>
      </c>
      <c r="U106" t="s">
        <v>653</v>
      </c>
      <c r="V106" t="s">
        <v>46</v>
      </c>
      <c r="W106" t="s">
        <v>1184</v>
      </c>
      <c r="X106">
        <v>4</v>
      </c>
    </row>
    <row r="107" spans="1:24" x14ac:dyDescent="0.25">
      <c r="A107">
        <v>106</v>
      </c>
      <c r="B107" t="s">
        <v>1314</v>
      </c>
      <c r="C107" t="s">
        <v>43</v>
      </c>
      <c r="D107">
        <v>60</v>
      </c>
      <c r="E107" t="s">
        <v>27</v>
      </c>
      <c r="F107" t="s">
        <v>40</v>
      </c>
      <c r="G107" t="s">
        <v>1187</v>
      </c>
      <c r="H107" t="s">
        <v>1195</v>
      </c>
      <c r="I107" t="s">
        <v>225</v>
      </c>
      <c r="J107" t="s">
        <v>229</v>
      </c>
      <c r="K107">
        <v>3</v>
      </c>
      <c r="L107" t="s">
        <v>1189</v>
      </c>
      <c r="M107" t="s">
        <v>1190</v>
      </c>
      <c r="N107">
        <v>49</v>
      </c>
      <c r="O107" t="s">
        <v>647</v>
      </c>
      <c r="P107">
        <v>17631</v>
      </c>
      <c r="Q107">
        <v>7</v>
      </c>
      <c r="R107">
        <v>3</v>
      </c>
      <c r="S107" t="s">
        <v>647</v>
      </c>
      <c r="T107" t="s">
        <v>1191</v>
      </c>
      <c r="U107" t="s">
        <v>647</v>
      </c>
      <c r="V107" t="s">
        <v>46</v>
      </c>
      <c r="W107" t="s">
        <v>1184</v>
      </c>
      <c r="X107">
        <v>3</v>
      </c>
    </row>
    <row r="108" spans="1:24" x14ac:dyDescent="0.25">
      <c r="A108">
        <v>107</v>
      </c>
      <c r="B108" t="s">
        <v>1315</v>
      </c>
      <c r="C108" t="s">
        <v>30</v>
      </c>
      <c r="D108">
        <v>8</v>
      </c>
      <c r="E108" t="s">
        <v>66</v>
      </c>
      <c r="F108" t="s">
        <v>49</v>
      </c>
      <c r="G108" t="s">
        <v>1197</v>
      </c>
      <c r="H108" t="s">
        <v>1233</v>
      </c>
      <c r="I108" t="s">
        <v>226</v>
      </c>
      <c r="J108" t="s">
        <v>237</v>
      </c>
      <c r="K108">
        <v>9</v>
      </c>
      <c r="L108" t="s">
        <v>1189</v>
      </c>
      <c r="M108" t="s">
        <v>1190</v>
      </c>
      <c r="N108">
        <v>33</v>
      </c>
      <c r="O108" t="s">
        <v>647</v>
      </c>
      <c r="P108">
        <v>21216</v>
      </c>
      <c r="Q108">
        <v>5</v>
      </c>
      <c r="R108">
        <v>5</v>
      </c>
      <c r="S108" t="s">
        <v>653</v>
      </c>
      <c r="T108" t="s">
        <v>1191</v>
      </c>
      <c r="U108" t="s">
        <v>647</v>
      </c>
      <c r="V108" t="s">
        <v>46</v>
      </c>
      <c r="W108" t="s">
        <v>1193</v>
      </c>
      <c r="X108">
        <v>3</v>
      </c>
    </row>
    <row r="109" spans="1:24" x14ac:dyDescent="0.25">
      <c r="A109">
        <v>108</v>
      </c>
      <c r="B109" t="s">
        <v>1316</v>
      </c>
      <c r="C109" t="s">
        <v>43</v>
      </c>
      <c r="D109">
        <v>23</v>
      </c>
      <c r="E109" t="s">
        <v>49</v>
      </c>
      <c r="F109" t="s">
        <v>49</v>
      </c>
      <c r="G109" t="s">
        <v>1200</v>
      </c>
      <c r="H109" t="s">
        <v>1239</v>
      </c>
      <c r="I109" t="s">
        <v>228</v>
      </c>
      <c r="J109" t="s">
        <v>233</v>
      </c>
      <c r="K109">
        <v>4</v>
      </c>
      <c r="L109" t="s">
        <v>1189</v>
      </c>
      <c r="M109" t="s">
        <v>1190</v>
      </c>
      <c r="N109">
        <v>13</v>
      </c>
      <c r="O109" t="s">
        <v>647</v>
      </c>
      <c r="P109">
        <v>36743</v>
      </c>
      <c r="Q109">
        <v>3</v>
      </c>
      <c r="R109">
        <v>4</v>
      </c>
      <c r="S109" t="s">
        <v>647</v>
      </c>
      <c r="T109" t="s">
        <v>1191</v>
      </c>
      <c r="U109" t="s">
        <v>653</v>
      </c>
      <c r="V109" t="s">
        <v>46</v>
      </c>
      <c r="W109" t="s">
        <v>1193</v>
      </c>
      <c r="X109">
        <v>5</v>
      </c>
    </row>
    <row r="110" spans="1:24" x14ac:dyDescent="0.25">
      <c r="A110">
        <v>109</v>
      </c>
      <c r="B110" t="s">
        <v>1317</v>
      </c>
      <c r="C110" t="s">
        <v>43</v>
      </c>
      <c r="D110">
        <v>10</v>
      </c>
      <c r="E110" t="s">
        <v>27</v>
      </c>
      <c r="F110" t="s">
        <v>40</v>
      </c>
      <c r="G110" t="s">
        <v>1200</v>
      </c>
      <c r="H110" t="s">
        <v>1233</v>
      </c>
      <c r="I110" t="s">
        <v>229</v>
      </c>
      <c r="J110" t="s">
        <v>230</v>
      </c>
      <c r="K110">
        <v>1</v>
      </c>
      <c r="L110" t="s">
        <v>1189</v>
      </c>
      <c r="M110" t="s">
        <v>1190</v>
      </c>
      <c r="N110">
        <v>18</v>
      </c>
      <c r="O110" t="s">
        <v>653</v>
      </c>
      <c r="P110">
        <v>2719</v>
      </c>
      <c r="Q110">
        <v>3</v>
      </c>
      <c r="R110">
        <v>1</v>
      </c>
      <c r="S110" t="s">
        <v>653</v>
      </c>
      <c r="T110" t="s">
        <v>1191</v>
      </c>
      <c r="U110" t="s">
        <v>653</v>
      </c>
      <c r="V110" t="s">
        <v>1180</v>
      </c>
      <c r="W110" t="s">
        <v>1193</v>
      </c>
      <c r="X110">
        <v>3</v>
      </c>
    </row>
    <row r="111" spans="1:24" x14ac:dyDescent="0.25">
      <c r="A111">
        <v>110</v>
      </c>
      <c r="B111" t="s">
        <v>1318</v>
      </c>
      <c r="C111" t="s">
        <v>43</v>
      </c>
      <c r="D111">
        <v>6</v>
      </c>
      <c r="E111" t="s">
        <v>66</v>
      </c>
      <c r="F111" t="s">
        <v>49</v>
      </c>
      <c r="G111" t="s">
        <v>1187</v>
      </c>
      <c r="H111" t="s">
        <v>1192</v>
      </c>
      <c r="I111" t="s">
        <v>230</v>
      </c>
      <c r="J111" t="s">
        <v>234</v>
      </c>
      <c r="K111">
        <v>3</v>
      </c>
      <c r="L111" t="s">
        <v>1189</v>
      </c>
      <c r="M111" t="s">
        <v>1190</v>
      </c>
      <c r="N111">
        <v>17</v>
      </c>
      <c r="O111" t="s">
        <v>647</v>
      </c>
      <c r="P111">
        <v>27759</v>
      </c>
      <c r="Q111">
        <v>6</v>
      </c>
      <c r="R111">
        <v>2</v>
      </c>
      <c r="S111" t="s">
        <v>653</v>
      </c>
      <c r="T111" t="s">
        <v>1191</v>
      </c>
      <c r="U111" t="s">
        <v>653</v>
      </c>
      <c r="V111" t="s">
        <v>1180</v>
      </c>
      <c r="W111" t="s">
        <v>279</v>
      </c>
      <c r="X111">
        <v>3</v>
      </c>
    </row>
    <row r="112" spans="1:24" x14ac:dyDescent="0.25">
      <c r="A112">
        <v>111</v>
      </c>
      <c r="B112" t="s">
        <v>1319</v>
      </c>
      <c r="C112" t="s">
        <v>30</v>
      </c>
      <c r="D112">
        <v>6</v>
      </c>
      <c r="E112" t="s">
        <v>66</v>
      </c>
      <c r="F112" t="s">
        <v>40</v>
      </c>
      <c r="G112" t="s">
        <v>1187</v>
      </c>
      <c r="H112" t="s">
        <v>1192</v>
      </c>
      <c r="I112" t="s">
        <v>231</v>
      </c>
      <c r="J112" t="s">
        <v>239</v>
      </c>
      <c r="K112">
        <v>7</v>
      </c>
      <c r="L112" t="s">
        <v>1189</v>
      </c>
      <c r="M112" t="s">
        <v>1190</v>
      </c>
      <c r="N112">
        <v>27</v>
      </c>
      <c r="O112" t="s">
        <v>653</v>
      </c>
      <c r="P112">
        <v>31621</v>
      </c>
      <c r="Q112">
        <v>6</v>
      </c>
      <c r="R112">
        <v>5</v>
      </c>
      <c r="S112" t="s">
        <v>647</v>
      </c>
      <c r="T112" t="s">
        <v>1191</v>
      </c>
      <c r="U112" t="s">
        <v>653</v>
      </c>
      <c r="V112" t="s">
        <v>1180</v>
      </c>
      <c r="W112" t="s">
        <v>1193</v>
      </c>
      <c r="X112">
        <v>5</v>
      </c>
    </row>
    <row r="113" spans="1:24" x14ac:dyDescent="0.25">
      <c r="A113">
        <v>112</v>
      </c>
      <c r="B113" t="s">
        <v>1320</v>
      </c>
      <c r="C113" t="s">
        <v>30</v>
      </c>
      <c r="D113">
        <v>70</v>
      </c>
      <c r="E113" t="s">
        <v>66</v>
      </c>
      <c r="F113" t="s">
        <v>49</v>
      </c>
      <c r="G113" t="s">
        <v>1187</v>
      </c>
      <c r="H113" t="s">
        <v>1265</v>
      </c>
      <c r="I113" t="s">
        <v>233</v>
      </c>
      <c r="J113" t="s">
        <v>242</v>
      </c>
      <c r="K113">
        <v>9</v>
      </c>
      <c r="L113" t="s">
        <v>1189</v>
      </c>
      <c r="M113" t="s">
        <v>1190</v>
      </c>
      <c r="N113">
        <v>14</v>
      </c>
      <c r="O113" t="s">
        <v>647</v>
      </c>
      <c r="P113">
        <v>42892</v>
      </c>
      <c r="Q113">
        <v>6</v>
      </c>
      <c r="R113">
        <v>4</v>
      </c>
      <c r="S113" t="s">
        <v>653</v>
      </c>
      <c r="T113" t="s">
        <v>1191</v>
      </c>
      <c r="U113" t="s">
        <v>653</v>
      </c>
      <c r="V113" t="s">
        <v>46</v>
      </c>
      <c r="W113" t="s">
        <v>1184</v>
      </c>
      <c r="X113">
        <v>4</v>
      </c>
    </row>
    <row r="114" spans="1:24" x14ac:dyDescent="0.25">
      <c r="A114">
        <v>113</v>
      </c>
      <c r="B114" t="s">
        <v>1321</v>
      </c>
      <c r="C114" t="s">
        <v>30</v>
      </c>
      <c r="D114">
        <v>55</v>
      </c>
      <c r="E114" t="s">
        <v>27</v>
      </c>
      <c r="F114" t="s">
        <v>40</v>
      </c>
      <c r="G114" t="s">
        <v>1187</v>
      </c>
      <c r="H114" t="s">
        <v>1220</v>
      </c>
      <c r="I114" t="s">
        <v>234</v>
      </c>
      <c r="J114" t="s">
        <v>242</v>
      </c>
      <c r="K114">
        <v>8</v>
      </c>
      <c r="L114" t="s">
        <v>1189</v>
      </c>
      <c r="M114" t="s">
        <v>1190</v>
      </c>
      <c r="N114">
        <v>11</v>
      </c>
      <c r="O114" t="s">
        <v>653</v>
      </c>
      <c r="P114">
        <v>36013</v>
      </c>
      <c r="Q114">
        <v>5</v>
      </c>
      <c r="R114">
        <v>4</v>
      </c>
      <c r="S114" t="s">
        <v>653</v>
      </c>
      <c r="T114" t="s">
        <v>1191</v>
      </c>
      <c r="U114" t="s">
        <v>653</v>
      </c>
      <c r="V114" t="s">
        <v>1180</v>
      </c>
      <c r="W114" t="s">
        <v>1193</v>
      </c>
      <c r="X114">
        <v>3</v>
      </c>
    </row>
    <row r="115" spans="1:24" x14ac:dyDescent="0.25">
      <c r="A115">
        <v>114</v>
      </c>
      <c r="B115" t="s">
        <v>1322</v>
      </c>
      <c r="C115" t="s">
        <v>43</v>
      </c>
      <c r="D115">
        <v>59</v>
      </c>
      <c r="E115" t="s">
        <v>66</v>
      </c>
      <c r="F115" t="s">
        <v>40</v>
      </c>
      <c r="G115" t="s">
        <v>1197</v>
      </c>
      <c r="H115" t="s">
        <v>1211</v>
      </c>
      <c r="I115" t="s">
        <v>235</v>
      </c>
      <c r="J115" t="s">
        <v>237</v>
      </c>
      <c r="K115">
        <v>2</v>
      </c>
      <c r="L115" t="s">
        <v>1189</v>
      </c>
      <c r="M115" t="s">
        <v>1190</v>
      </c>
      <c r="N115">
        <v>42</v>
      </c>
      <c r="O115" t="s">
        <v>653</v>
      </c>
      <c r="P115">
        <v>37617</v>
      </c>
      <c r="Q115">
        <v>4</v>
      </c>
      <c r="R115">
        <v>0</v>
      </c>
      <c r="S115" t="s">
        <v>653</v>
      </c>
      <c r="T115" t="s">
        <v>1191</v>
      </c>
      <c r="U115" t="s">
        <v>653</v>
      </c>
      <c r="V115" t="s">
        <v>46</v>
      </c>
      <c r="W115" t="s">
        <v>1193</v>
      </c>
      <c r="X115">
        <v>3</v>
      </c>
    </row>
    <row r="116" spans="1:24" x14ac:dyDescent="0.25">
      <c r="A116">
        <v>115</v>
      </c>
      <c r="B116" t="s">
        <v>1323</v>
      </c>
      <c r="C116" t="s">
        <v>43</v>
      </c>
      <c r="D116">
        <v>22</v>
      </c>
      <c r="E116" t="s">
        <v>66</v>
      </c>
      <c r="F116" t="s">
        <v>40</v>
      </c>
      <c r="G116" t="s">
        <v>1197</v>
      </c>
      <c r="H116" t="s">
        <v>1203</v>
      </c>
      <c r="I116" t="s">
        <v>236</v>
      </c>
      <c r="J116" t="s">
        <v>238</v>
      </c>
      <c r="K116">
        <v>2</v>
      </c>
      <c r="L116" t="s">
        <v>1189</v>
      </c>
      <c r="M116" t="s">
        <v>1190</v>
      </c>
      <c r="N116">
        <v>12</v>
      </c>
      <c r="O116" t="s">
        <v>653</v>
      </c>
      <c r="P116">
        <v>47873</v>
      </c>
      <c r="Q116">
        <v>8</v>
      </c>
      <c r="R116">
        <v>1</v>
      </c>
      <c r="S116" t="s">
        <v>653</v>
      </c>
      <c r="T116" t="s">
        <v>1191</v>
      </c>
      <c r="U116" t="s">
        <v>653</v>
      </c>
      <c r="V116" t="s">
        <v>1180</v>
      </c>
      <c r="W116" t="s">
        <v>1184</v>
      </c>
      <c r="X116">
        <v>3</v>
      </c>
    </row>
    <row r="117" spans="1:24" x14ac:dyDescent="0.25">
      <c r="A117">
        <v>116</v>
      </c>
      <c r="B117" t="s">
        <v>1324</v>
      </c>
      <c r="C117" t="s">
        <v>43</v>
      </c>
      <c r="D117">
        <v>73</v>
      </c>
      <c r="E117" t="s">
        <v>27</v>
      </c>
      <c r="F117" t="s">
        <v>40</v>
      </c>
      <c r="G117" t="s">
        <v>1200</v>
      </c>
      <c r="H117" t="s">
        <v>1201</v>
      </c>
      <c r="I117" t="s">
        <v>237</v>
      </c>
      <c r="J117" t="s">
        <v>241</v>
      </c>
      <c r="K117">
        <v>4</v>
      </c>
      <c r="L117" t="s">
        <v>1189</v>
      </c>
      <c r="M117" t="s">
        <v>1190</v>
      </c>
      <c r="N117">
        <v>5</v>
      </c>
      <c r="O117" t="s">
        <v>653</v>
      </c>
      <c r="P117">
        <v>13354</v>
      </c>
      <c r="Q117">
        <v>1</v>
      </c>
      <c r="R117">
        <v>0</v>
      </c>
      <c r="S117" t="s">
        <v>653</v>
      </c>
      <c r="T117" t="s">
        <v>1191</v>
      </c>
      <c r="U117" t="s">
        <v>647</v>
      </c>
      <c r="V117" t="s">
        <v>46</v>
      </c>
      <c r="W117" t="s">
        <v>1184</v>
      </c>
      <c r="X117">
        <v>3</v>
      </c>
    </row>
    <row r="118" spans="1:24" x14ac:dyDescent="0.25">
      <c r="A118">
        <v>117</v>
      </c>
      <c r="B118" t="s">
        <v>1325</v>
      </c>
      <c r="C118" t="s">
        <v>43</v>
      </c>
      <c r="D118">
        <v>81</v>
      </c>
      <c r="E118" t="s">
        <v>27</v>
      </c>
      <c r="F118" t="s">
        <v>27</v>
      </c>
      <c r="G118" t="s">
        <v>1200</v>
      </c>
      <c r="H118" t="s">
        <v>1194</v>
      </c>
      <c r="I118" t="s">
        <v>238</v>
      </c>
      <c r="J118" t="s">
        <v>244</v>
      </c>
      <c r="K118">
        <v>6</v>
      </c>
      <c r="L118" t="s">
        <v>1189</v>
      </c>
      <c r="M118" t="s">
        <v>1190</v>
      </c>
      <c r="N118">
        <v>7</v>
      </c>
      <c r="O118" t="s">
        <v>647</v>
      </c>
      <c r="P118">
        <v>2884</v>
      </c>
      <c r="Q118">
        <v>1</v>
      </c>
      <c r="R118">
        <v>5</v>
      </c>
      <c r="S118" t="s">
        <v>653</v>
      </c>
      <c r="T118" t="s">
        <v>1191</v>
      </c>
      <c r="U118" t="s">
        <v>653</v>
      </c>
      <c r="V118" t="s">
        <v>46</v>
      </c>
      <c r="W118" t="s">
        <v>1193</v>
      </c>
      <c r="X118">
        <v>4</v>
      </c>
    </row>
    <row r="119" spans="1:24" x14ac:dyDescent="0.25">
      <c r="A119">
        <v>118</v>
      </c>
      <c r="B119" t="s">
        <v>1326</v>
      </c>
      <c r="C119" t="s">
        <v>30</v>
      </c>
      <c r="D119">
        <v>47</v>
      </c>
      <c r="E119" t="s">
        <v>27</v>
      </c>
      <c r="F119" t="s">
        <v>40</v>
      </c>
      <c r="G119" t="s">
        <v>1200</v>
      </c>
      <c r="H119" t="s">
        <v>1215</v>
      </c>
      <c r="I119" t="s">
        <v>239</v>
      </c>
      <c r="J119" t="s">
        <v>245</v>
      </c>
      <c r="K119">
        <v>6</v>
      </c>
      <c r="L119" t="s">
        <v>1189</v>
      </c>
      <c r="M119" t="s">
        <v>1190</v>
      </c>
      <c r="N119">
        <v>32</v>
      </c>
      <c r="O119" t="s">
        <v>647</v>
      </c>
      <c r="P119">
        <v>34038</v>
      </c>
      <c r="Q119">
        <v>8</v>
      </c>
      <c r="R119">
        <v>5</v>
      </c>
      <c r="S119" t="s">
        <v>647</v>
      </c>
      <c r="T119" t="s">
        <v>1191</v>
      </c>
      <c r="U119" t="s">
        <v>647</v>
      </c>
      <c r="V119" t="s">
        <v>1180</v>
      </c>
      <c r="W119" t="s">
        <v>1193</v>
      </c>
      <c r="X119">
        <v>4</v>
      </c>
    </row>
    <row r="120" spans="1:24" x14ac:dyDescent="0.25">
      <c r="A120">
        <v>119</v>
      </c>
      <c r="B120" t="s">
        <v>1327</v>
      </c>
      <c r="C120" t="s">
        <v>43</v>
      </c>
      <c r="D120">
        <v>37</v>
      </c>
      <c r="E120" t="s">
        <v>27</v>
      </c>
      <c r="F120" t="s">
        <v>40</v>
      </c>
      <c r="G120" t="s">
        <v>1200</v>
      </c>
      <c r="H120" t="s">
        <v>1213</v>
      </c>
      <c r="I120" t="s">
        <v>240</v>
      </c>
      <c r="J120" t="s">
        <v>243</v>
      </c>
      <c r="K120">
        <v>3</v>
      </c>
      <c r="L120" t="s">
        <v>1189</v>
      </c>
      <c r="M120" t="s">
        <v>1190</v>
      </c>
      <c r="N120">
        <v>19</v>
      </c>
      <c r="O120" t="s">
        <v>647</v>
      </c>
      <c r="P120">
        <v>30704</v>
      </c>
      <c r="Q120">
        <v>7</v>
      </c>
      <c r="R120">
        <v>0</v>
      </c>
      <c r="S120" t="s">
        <v>653</v>
      </c>
      <c r="T120" t="s">
        <v>1191</v>
      </c>
      <c r="U120" t="s">
        <v>647</v>
      </c>
      <c r="V120" t="s">
        <v>1180</v>
      </c>
      <c r="W120" t="s">
        <v>1193</v>
      </c>
      <c r="X120">
        <v>5</v>
      </c>
    </row>
    <row r="121" spans="1:24" x14ac:dyDescent="0.25">
      <c r="A121">
        <v>120</v>
      </c>
      <c r="B121" t="s">
        <v>1328</v>
      </c>
      <c r="C121" t="s">
        <v>43</v>
      </c>
      <c r="D121">
        <v>40</v>
      </c>
      <c r="E121" t="s">
        <v>49</v>
      </c>
      <c r="F121" t="s">
        <v>40</v>
      </c>
      <c r="G121" t="s">
        <v>1200</v>
      </c>
      <c r="H121" t="s">
        <v>1265</v>
      </c>
      <c r="I121" t="s">
        <v>241</v>
      </c>
      <c r="J121" t="s">
        <v>251</v>
      </c>
      <c r="K121">
        <v>8</v>
      </c>
      <c r="L121" t="s">
        <v>1189</v>
      </c>
      <c r="M121" t="s">
        <v>1190</v>
      </c>
      <c r="N121">
        <v>18</v>
      </c>
      <c r="O121" t="s">
        <v>653</v>
      </c>
      <c r="P121">
        <v>49571</v>
      </c>
      <c r="Q121">
        <v>8</v>
      </c>
      <c r="R121">
        <v>1</v>
      </c>
      <c r="S121" t="s">
        <v>647</v>
      </c>
      <c r="T121" t="s">
        <v>1191</v>
      </c>
      <c r="U121" t="s">
        <v>647</v>
      </c>
      <c r="V121" t="s">
        <v>46</v>
      </c>
      <c r="W121" t="s">
        <v>1193</v>
      </c>
      <c r="X121">
        <v>4</v>
      </c>
    </row>
    <row r="122" spans="1:24" x14ac:dyDescent="0.25">
      <c r="A122">
        <v>121</v>
      </c>
      <c r="B122" t="s">
        <v>1329</v>
      </c>
      <c r="C122" t="s">
        <v>30</v>
      </c>
      <c r="D122">
        <v>28</v>
      </c>
      <c r="E122" t="s">
        <v>66</v>
      </c>
      <c r="F122" t="s">
        <v>40</v>
      </c>
      <c r="G122" t="s">
        <v>1197</v>
      </c>
      <c r="H122" t="s">
        <v>1220</v>
      </c>
      <c r="I122" t="s">
        <v>242</v>
      </c>
      <c r="J122" t="s">
        <v>245</v>
      </c>
      <c r="K122">
        <v>3</v>
      </c>
      <c r="L122" t="s">
        <v>1189</v>
      </c>
      <c r="M122" t="s">
        <v>1190</v>
      </c>
      <c r="N122">
        <v>6</v>
      </c>
      <c r="O122" t="s">
        <v>653</v>
      </c>
      <c r="P122">
        <v>37610</v>
      </c>
      <c r="Q122">
        <v>6</v>
      </c>
      <c r="R122">
        <v>5</v>
      </c>
      <c r="S122" t="s">
        <v>647</v>
      </c>
      <c r="T122" t="s">
        <v>1191</v>
      </c>
      <c r="U122" t="s">
        <v>653</v>
      </c>
      <c r="V122" t="s">
        <v>46</v>
      </c>
      <c r="W122" t="s">
        <v>1193</v>
      </c>
      <c r="X122">
        <v>4</v>
      </c>
    </row>
    <row r="123" spans="1:24" x14ac:dyDescent="0.25">
      <c r="A123">
        <v>122</v>
      </c>
      <c r="B123" t="s">
        <v>1330</v>
      </c>
      <c r="C123" t="s">
        <v>43</v>
      </c>
      <c r="D123">
        <v>19</v>
      </c>
      <c r="E123" t="s">
        <v>27</v>
      </c>
      <c r="F123" t="s">
        <v>40</v>
      </c>
      <c r="G123" t="s">
        <v>1200</v>
      </c>
      <c r="H123" t="s">
        <v>1203</v>
      </c>
      <c r="I123" t="s">
        <v>243</v>
      </c>
      <c r="J123" t="s">
        <v>255</v>
      </c>
      <c r="K123">
        <v>10</v>
      </c>
      <c r="L123" t="s">
        <v>1189</v>
      </c>
      <c r="M123" t="s">
        <v>1190</v>
      </c>
      <c r="N123">
        <v>34</v>
      </c>
      <c r="O123" t="s">
        <v>653</v>
      </c>
      <c r="P123">
        <v>5694</v>
      </c>
      <c r="Q123">
        <v>4</v>
      </c>
      <c r="R123">
        <v>4</v>
      </c>
      <c r="S123" t="s">
        <v>653</v>
      </c>
      <c r="T123" t="s">
        <v>1191</v>
      </c>
      <c r="U123" t="s">
        <v>647</v>
      </c>
      <c r="V123" t="s">
        <v>1180</v>
      </c>
      <c r="W123" t="s">
        <v>1193</v>
      </c>
      <c r="X123">
        <v>3</v>
      </c>
    </row>
    <row r="124" spans="1:24" x14ac:dyDescent="0.25">
      <c r="A124">
        <v>123</v>
      </c>
      <c r="B124" t="s">
        <v>1331</v>
      </c>
      <c r="C124" t="s">
        <v>30</v>
      </c>
      <c r="D124">
        <v>63</v>
      </c>
      <c r="E124" t="s">
        <v>66</v>
      </c>
      <c r="F124" t="s">
        <v>27</v>
      </c>
      <c r="G124" t="s">
        <v>1200</v>
      </c>
      <c r="H124" t="s">
        <v>1195</v>
      </c>
      <c r="I124" t="s">
        <v>244</v>
      </c>
      <c r="J124" t="s">
        <v>252</v>
      </c>
      <c r="K124">
        <v>6</v>
      </c>
      <c r="L124" t="s">
        <v>1189</v>
      </c>
      <c r="M124" t="s">
        <v>1190</v>
      </c>
      <c r="N124">
        <v>11</v>
      </c>
      <c r="O124" t="s">
        <v>653</v>
      </c>
      <c r="P124">
        <v>35613</v>
      </c>
      <c r="Q124">
        <v>1</v>
      </c>
      <c r="R124">
        <v>4</v>
      </c>
      <c r="S124" t="s">
        <v>653</v>
      </c>
      <c r="T124" t="s">
        <v>1191</v>
      </c>
      <c r="U124" t="s">
        <v>647</v>
      </c>
      <c r="V124" t="s">
        <v>1180</v>
      </c>
      <c r="W124" t="s">
        <v>1184</v>
      </c>
      <c r="X124">
        <v>5</v>
      </c>
    </row>
    <row r="125" spans="1:24" x14ac:dyDescent="0.25">
      <c r="A125">
        <v>124</v>
      </c>
      <c r="B125" t="s">
        <v>1332</v>
      </c>
      <c r="C125" t="s">
        <v>30</v>
      </c>
      <c r="D125">
        <v>24</v>
      </c>
      <c r="E125" t="s">
        <v>27</v>
      </c>
      <c r="F125" t="s">
        <v>49</v>
      </c>
      <c r="G125" t="s">
        <v>1200</v>
      </c>
      <c r="H125" t="s">
        <v>1188</v>
      </c>
      <c r="I125" t="s">
        <v>245</v>
      </c>
      <c r="J125" t="s">
        <v>254</v>
      </c>
      <c r="K125">
        <v>7</v>
      </c>
      <c r="L125" t="s">
        <v>1189</v>
      </c>
      <c r="M125" t="s">
        <v>1190</v>
      </c>
      <c r="N125">
        <v>39</v>
      </c>
      <c r="O125" t="s">
        <v>647</v>
      </c>
      <c r="P125">
        <v>33365</v>
      </c>
      <c r="Q125">
        <v>6</v>
      </c>
      <c r="R125">
        <v>0</v>
      </c>
      <c r="S125" t="s">
        <v>653</v>
      </c>
      <c r="T125" t="s">
        <v>1191</v>
      </c>
      <c r="U125" t="s">
        <v>647</v>
      </c>
      <c r="V125" t="s">
        <v>1180</v>
      </c>
      <c r="W125" t="s">
        <v>1193</v>
      </c>
      <c r="X125">
        <v>5</v>
      </c>
    </row>
    <row r="126" spans="1:24" x14ac:dyDescent="0.25">
      <c r="A126">
        <v>125</v>
      </c>
      <c r="B126" t="s">
        <v>1333</v>
      </c>
      <c r="C126" t="s">
        <v>43</v>
      </c>
      <c r="D126">
        <v>68</v>
      </c>
      <c r="E126" t="s">
        <v>27</v>
      </c>
      <c r="F126" t="s">
        <v>27</v>
      </c>
      <c r="G126" t="s">
        <v>1187</v>
      </c>
      <c r="H126" t="s">
        <v>1194</v>
      </c>
      <c r="I126" t="s">
        <v>247</v>
      </c>
      <c r="J126" t="s">
        <v>252</v>
      </c>
      <c r="K126">
        <v>4</v>
      </c>
      <c r="L126" t="s">
        <v>1189</v>
      </c>
      <c r="M126" t="s">
        <v>1190</v>
      </c>
      <c r="N126">
        <v>7</v>
      </c>
      <c r="O126" t="s">
        <v>647</v>
      </c>
      <c r="P126">
        <v>42507</v>
      </c>
      <c r="Q126">
        <v>7</v>
      </c>
      <c r="R126">
        <v>2</v>
      </c>
      <c r="S126" t="s">
        <v>647</v>
      </c>
      <c r="T126" t="s">
        <v>1191</v>
      </c>
      <c r="U126" t="s">
        <v>647</v>
      </c>
      <c r="V126" t="s">
        <v>46</v>
      </c>
      <c r="W126" t="s">
        <v>1184</v>
      </c>
      <c r="X126">
        <v>5</v>
      </c>
    </row>
    <row r="127" spans="1:24" x14ac:dyDescent="0.25">
      <c r="A127">
        <v>126</v>
      </c>
      <c r="B127" t="s">
        <v>1334</v>
      </c>
      <c r="C127" t="s">
        <v>43</v>
      </c>
      <c r="D127">
        <v>15</v>
      </c>
      <c r="E127" t="s">
        <v>66</v>
      </c>
      <c r="F127" t="s">
        <v>40</v>
      </c>
      <c r="G127" t="s">
        <v>1197</v>
      </c>
      <c r="H127" t="s">
        <v>1213</v>
      </c>
      <c r="I127" t="s">
        <v>248</v>
      </c>
      <c r="J127" t="s">
        <v>257</v>
      </c>
      <c r="K127">
        <v>8</v>
      </c>
      <c r="L127" t="s">
        <v>1189</v>
      </c>
      <c r="M127" t="s">
        <v>1190</v>
      </c>
      <c r="N127">
        <v>50</v>
      </c>
      <c r="O127" t="s">
        <v>647</v>
      </c>
      <c r="P127">
        <v>29866</v>
      </c>
      <c r="Q127">
        <v>8</v>
      </c>
      <c r="R127">
        <v>0</v>
      </c>
      <c r="S127" t="s">
        <v>653</v>
      </c>
      <c r="T127" t="s">
        <v>1191</v>
      </c>
      <c r="U127" t="s">
        <v>653</v>
      </c>
      <c r="V127" t="s">
        <v>1180</v>
      </c>
      <c r="W127" t="s">
        <v>1184</v>
      </c>
      <c r="X127">
        <v>3</v>
      </c>
    </row>
    <row r="128" spans="1:24" x14ac:dyDescent="0.25">
      <c r="A128">
        <v>127</v>
      </c>
      <c r="B128" t="s">
        <v>1335</v>
      </c>
      <c r="C128" t="s">
        <v>43</v>
      </c>
      <c r="D128">
        <v>52</v>
      </c>
      <c r="E128" t="s">
        <v>66</v>
      </c>
      <c r="F128" t="s">
        <v>27</v>
      </c>
      <c r="G128" t="s">
        <v>1187</v>
      </c>
      <c r="H128" t="s">
        <v>1205</v>
      </c>
      <c r="I128" t="s">
        <v>250</v>
      </c>
      <c r="J128" t="s">
        <v>253</v>
      </c>
      <c r="K128">
        <v>3</v>
      </c>
      <c r="L128" t="s">
        <v>1189</v>
      </c>
      <c r="M128" t="s">
        <v>1190</v>
      </c>
      <c r="N128">
        <v>38</v>
      </c>
      <c r="O128" t="s">
        <v>653</v>
      </c>
      <c r="P128">
        <v>22010</v>
      </c>
      <c r="Q128">
        <v>5</v>
      </c>
      <c r="R128">
        <v>1</v>
      </c>
      <c r="S128" t="s">
        <v>653</v>
      </c>
      <c r="T128" t="s">
        <v>1191</v>
      </c>
      <c r="U128" t="s">
        <v>653</v>
      </c>
      <c r="V128" t="s">
        <v>1180</v>
      </c>
      <c r="W128" t="s">
        <v>1184</v>
      </c>
      <c r="X128">
        <v>5</v>
      </c>
    </row>
    <row r="129" spans="1:24" x14ac:dyDescent="0.25">
      <c r="A129">
        <v>128</v>
      </c>
      <c r="B129" t="s">
        <v>1336</v>
      </c>
      <c r="C129" t="s">
        <v>43</v>
      </c>
      <c r="D129">
        <v>61</v>
      </c>
      <c r="E129" t="s">
        <v>27</v>
      </c>
      <c r="F129" t="s">
        <v>40</v>
      </c>
      <c r="G129" t="s">
        <v>1197</v>
      </c>
      <c r="H129" t="s">
        <v>1220</v>
      </c>
      <c r="I129" t="s">
        <v>251</v>
      </c>
      <c r="J129" t="s">
        <v>253</v>
      </c>
      <c r="K129">
        <v>2</v>
      </c>
      <c r="L129" t="s">
        <v>1189</v>
      </c>
      <c r="M129" t="s">
        <v>1190</v>
      </c>
      <c r="N129">
        <v>21</v>
      </c>
      <c r="O129" t="s">
        <v>647</v>
      </c>
      <c r="P129">
        <v>33439</v>
      </c>
      <c r="Q129">
        <v>5</v>
      </c>
      <c r="R129">
        <v>3</v>
      </c>
      <c r="S129" t="s">
        <v>653</v>
      </c>
      <c r="T129" t="s">
        <v>1191</v>
      </c>
      <c r="U129" t="s">
        <v>653</v>
      </c>
      <c r="V129" t="s">
        <v>46</v>
      </c>
      <c r="W129" t="s">
        <v>1184</v>
      </c>
      <c r="X129">
        <v>4</v>
      </c>
    </row>
    <row r="130" spans="1:24" x14ac:dyDescent="0.25">
      <c r="A130">
        <v>129</v>
      </c>
      <c r="B130" t="s">
        <v>1337</v>
      </c>
      <c r="C130" t="s">
        <v>43</v>
      </c>
      <c r="D130">
        <v>47</v>
      </c>
      <c r="E130" t="s">
        <v>49</v>
      </c>
      <c r="F130" t="s">
        <v>27</v>
      </c>
      <c r="G130" t="s">
        <v>1197</v>
      </c>
      <c r="H130" t="s">
        <v>1198</v>
      </c>
      <c r="I130" t="s">
        <v>252</v>
      </c>
      <c r="J130" t="s">
        <v>260</v>
      </c>
      <c r="K130">
        <v>8</v>
      </c>
      <c r="L130" t="s">
        <v>1189</v>
      </c>
      <c r="M130" t="s">
        <v>1190</v>
      </c>
      <c r="N130">
        <v>35</v>
      </c>
      <c r="O130" t="s">
        <v>653</v>
      </c>
      <c r="P130">
        <v>14924</v>
      </c>
      <c r="Q130">
        <v>4</v>
      </c>
      <c r="R130">
        <v>3</v>
      </c>
      <c r="S130" t="s">
        <v>653</v>
      </c>
      <c r="T130" t="s">
        <v>1191</v>
      </c>
      <c r="U130" t="s">
        <v>653</v>
      </c>
      <c r="V130" t="s">
        <v>46</v>
      </c>
      <c r="W130" t="s">
        <v>279</v>
      </c>
      <c r="X130">
        <v>3</v>
      </c>
    </row>
    <row r="131" spans="1:24" x14ac:dyDescent="0.25">
      <c r="A131">
        <v>130</v>
      </c>
      <c r="B131" t="s">
        <v>1338</v>
      </c>
      <c r="C131" t="s">
        <v>43</v>
      </c>
      <c r="D131">
        <v>13</v>
      </c>
      <c r="E131" t="s">
        <v>49</v>
      </c>
      <c r="F131" t="s">
        <v>49</v>
      </c>
      <c r="G131" t="s">
        <v>1200</v>
      </c>
      <c r="H131" t="s">
        <v>1249</v>
      </c>
      <c r="I131" t="s">
        <v>253</v>
      </c>
      <c r="J131" t="s">
        <v>257</v>
      </c>
      <c r="K131">
        <v>4</v>
      </c>
      <c r="L131" t="s">
        <v>1189</v>
      </c>
      <c r="M131" t="s">
        <v>1190</v>
      </c>
      <c r="N131">
        <v>41</v>
      </c>
      <c r="O131" t="s">
        <v>647</v>
      </c>
      <c r="P131">
        <v>33238</v>
      </c>
      <c r="Q131">
        <v>8</v>
      </c>
      <c r="R131">
        <v>2</v>
      </c>
      <c r="S131" t="s">
        <v>653</v>
      </c>
      <c r="T131" t="s">
        <v>1191</v>
      </c>
      <c r="U131" t="s">
        <v>647</v>
      </c>
      <c r="V131" t="s">
        <v>1180</v>
      </c>
      <c r="W131" t="s">
        <v>1193</v>
      </c>
      <c r="X131">
        <v>3</v>
      </c>
    </row>
    <row r="132" spans="1:24" x14ac:dyDescent="0.25">
      <c r="A132">
        <v>131</v>
      </c>
      <c r="B132" t="s">
        <v>1339</v>
      </c>
      <c r="C132" t="s">
        <v>30</v>
      </c>
      <c r="D132">
        <v>20</v>
      </c>
      <c r="E132" t="s">
        <v>66</v>
      </c>
      <c r="F132" t="s">
        <v>49</v>
      </c>
      <c r="G132" t="s">
        <v>1187</v>
      </c>
      <c r="H132" t="s">
        <v>1233</v>
      </c>
      <c r="I132" t="s">
        <v>254</v>
      </c>
      <c r="J132" t="s">
        <v>261</v>
      </c>
      <c r="K132">
        <v>7</v>
      </c>
      <c r="L132" t="s">
        <v>1189</v>
      </c>
      <c r="M132" t="s">
        <v>1190</v>
      </c>
      <c r="N132">
        <v>27</v>
      </c>
      <c r="O132" t="s">
        <v>647</v>
      </c>
      <c r="P132">
        <v>3430</v>
      </c>
      <c r="Q132">
        <v>5</v>
      </c>
      <c r="R132">
        <v>3</v>
      </c>
      <c r="S132" t="s">
        <v>653</v>
      </c>
      <c r="T132" t="s">
        <v>1191</v>
      </c>
      <c r="U132" t="s">
        <v>647</v>
      </c>
      <c r="V132" t="s">
        <v>1180</v>
      </c>
      <c r="W132" t="s">
        <v>279</v>
      </c>
      <c r="X132">
        <v>5</v>
      </c>
    </row>
    <row r="133" spans="1:24" x14ac:dyDescent="0.25">
      <c r="A133">
        <v>132</v>
      </c>
      <c r="B133" t="s">
        <v>1340</v>
      </c>
      <c r="C133" t="s">
        <v>30</v>
      </c>
      <c r="D133">
        <v>53</v>
      </c>
      <c r="E133" t="s">
        <v>66</v>
      </c>
      <c r="F133" t="s">
        <v>27</v>
      </c>
      <c r="G133" t="s">
        <v>1200</v>
      </c>
      <c r="H133" t="s">
        <v>1239</v>
      </c>
      <c r="I133" t="s">
        <v>255</v>
      </c>
      <c r="J133" t="s">
        <v>261</v>
      </c>
      <c r="K133">
        <v>6</v>
      </c>
      <c r="L133" t="s">
        <v>1189</v>
      </c>
      <c r="M133" t="s">
        <v>1190</v>
      </c>
      <c r="N133">
        <v>30</v>
      </c>
      <c r="O133" t="s">
        <v>647</v>
      </c>
      <c r="P133">
        <v>34820</v>
      </c>
      <c r="Q133">
        <v>2</v>
      </c>
      <c r="R133">
        <v>2</v>
      </c>
      <c r="S133" t="s">
        <v>653</v>
      </c>
      <c r="T133" t="s">
        <v>1191</v>
      </c>
      <c r="U133" t="s">
        <v>653</v>
      </c>
      <c r="V133" t="s">
        <v>1180</v>
      </c>
      <c r="W133" t="s">
        <v>1184</v>
      </c>
      <c r="X133">
        <v>4</v>
      </c>
    </row>
    <row r="134" spans="1:24" x14ac:dyDescent="0.25">
      <c r="A134">
        <v>133</v>
      </c>
      <c r="B134" t="s">
        <v>1341</v>
      </c>
      <c r="C134" t="s">
        <v>43</v>
      </c>
      <c r="D134">
        <v>73</v>
      </c>
      <c r="E134" t="s">
        <v>66</v>
      </c>
      <c r="F134" t="s">
        <v>27</v>
      </c>
      <c r="G134" t="s">
        <v>1200</v>
      </c>
      <c r="H134" t="s">
        <v>1239</v>
      </c>
      <c r="I134" t="s">
        <v>256</v>
      </c>
      <c r="J134" t="s">
        <v>265</v>
      </c>
      <c r="K134">
        <v>9</v>
      </c>
      <c r="L134" t="s">
        <v>1189</v>
      </c>
      <c r="M134" t="s">
        <v>1190</v>
      </c>
      <c r="N134">
        <v>23</v>
      </c>
      <c r="O134" t="s">
        <v>653</v>
      </c>
      <c r="P134">
        <v>14451</v>
      </c>
      <c r="Q134">
        <v>1</v>
      </c>
      <c r="R134">
        <v>0</v>
      </c>
      <c r="S134" t="s">
        <v>653</v>
      </c>
      <c r="T134" t="s">
        <v>1191</v>
      </c>
      <c r="U134" t="s">
        <v>653</v>
      </c>
      <c r="V134" t="s">
        <v>46</v>
      </c>
      <c r="W134" t="s">
        <v>1184</v>
      </c>
      <c r="X134">
        <v>4</v>
      </c>
    </row>
    <row r="135" spans="1:24" x14ac:dyDescent="0.25">
      <c r="A135">
        <v>134</v>
      </c>
      <c r="B135" t="s">
        <v>1342</v>
      </c>
      <c r="C135" t="s">
        <v>43</v>
      </c>
      <c r="D135">
        <v>47</v>
      </c>
      <c r="E135" t="s">
        <v>66</v>
      </c>
      <c r="F135" t="s">
        <v>49</v>
      </c>
      <c r="G135" t="s">
        <v>1187</v>
      </c>
      <c r="H135" t="s">
        <v>1249</v>
      </c>
      <c r="I135" t="s">
        <v>257</v>
      </c>
      <c r="J135" t="s">
        <v>265</v>
      </c>
      <c r="K135">
        <v>8</v>
      </c>
      <c r="L135" t="s">
        <v>1189</v>
      </c>
      <c r="M135" t="s">
        <v>1190</v>
      </c>
      <c r="N135">
        <v>26</v>
      </c>
      <c r="O135" t="s">
        <v>653</v>
      </c>
      <c r="P135">
        <v>15569</v>
      </c>
      <c r="Q135">
        <v>7</v>
      </c>
      <c r="R135">
        <v>3</v>
      </c>
      <c r="S135" t="s">
        <v>647</v>
      </c>
      <c r="T135" t="s">
        <v>1191</v>
      </c>
      <c r="U135" t="s">
        <v>653</v>
      </c>
      <c r="V135" t="s">
        <v>46</v>
      </c>
      <c r="W135" t="s">
        <v>1184</v>
      </c>
      <c r="X135">
        <v>4</v>
      </c>
    </row>
    <row r="136" spans="1:24" x14ac:dyDescent="0.25">
      <c r="A136">
        <v>135</v>
      </c>
      <c r="B136" t="s">
        <v>1343</v>
      </c>
      <c r="C136" t="s">
        <v>30</v>
      </c>
      <c r="D136">
        <v>63</v>
      </c>
      <c r="E136" t="s">
        <v>49</v>
      </c>
      <c r="F136" t="s">
        <v>40</v>
      </c>
      <c r="G136" t="s">
        <v>1187</v>
      </c>
      <c r="H136" t="s">
        <v>1243</v>
      </c>
      <c r="I136" t="s">
        <v>258</v>
      </c>
      <c r="J136" t="s">
        <v>266</v>
      </c>
      <c r="K136">
        <v>8</v>
      </c>
      <c r="L136" t="s">
        <v>1189</v>
      </c>
      <c r="M136" t="s">
        <v>1190</v>
      </c>
      <c r="N136">
        <v>8</v>
      </c>
      <c r="O136" t="s">
        <v>653</v>
      </c>
      <c r="P136">
        <v>30190</v>
      </c>
      <c r="Q136">
        <v>1</v>
      </c>
      <c r="R136">
        <v>0</v>
      </c>
      <c r="S136" t="s">
        <v>653</v>
      </c>
      <c r="T136" t="s">
        <v>1191</v>
      </c>
      <c r="U136" t="s">
        <v>647</v>
      </c>
      <c r="V136" t="s">
        <v>46</v>
      </c>
      <c r="W136" t="s">
        <v>1193</v>
      </c>
      <c r="X136">
        <v>4</v>
      </c>
    </row>
    <row r="137" spans="1:24" x14ac:dyDescent="0.25">
      <c r="A137">
        <v>136</v>
      </c>
      <c r="B137" t="s">
        <v>1344</v>
      </c>
      <c r="C137" t="s">
        <v>43</v>
      </c>
      <c r="D137">
        <v>13</v>
      </c>
      <c r="E137" t="s">
        <v>66</v>
      </c>
      <c r="F137" t="s">
        <v>40</v>
      </c>
      <c r="G137" t="s">
        <v>1200</v>
      </c>
      <c r="H137" t="s">
        <v>1217</v>
      </c>
      <c r="I137" t="s">
        <v>259</v>
      </c>
      <c r="J137" t="s">
        <v>268</v>
      </c>
      <c r="K137">
        <v>9</v>
      </c>
      <c r="L137" t="s">
        <v>1189</v>
      </c>
      <c r="M137" t="s">
        <v>1190</v>
      </c>
      <c r="N137">
        <v>48</v>
      </c>
      <c r="O137" t="s">
        <v>653</v>
      </c>
      <c r="P137">
        <v>10309</v>
      </c>
      <c r="Q137">
        <v>6</v>
      </c>
      <c r="R137">
        <v>5</v>
      </c>
      <c r="S137" t="s">
        <v>647</v>
      </c>
      <c r="T137" t="s">
        <v>1191</v>
      </c>
      <c r="U137" t="s">
        <v>647</v>
      </c>
      <c r="V137" t="s">
        <v>1180</v>
      </c>
      <c r="W137" t="s">
        <v>279</v>
      </c>
      <c r="X137">
        <v>5</v>
      </c>
    </row>
    <row r="138" spans="1:24" x14ac:dyDescent="0.25">
      <c r="A138">
        <v>137</v>
      </c>
      <c r="B138" t="s">
        <v>1345</v>
      </c>
      <c r="C138" t="s">
        <v>30</v>
      </c>
      <c r="D138">
        <v>79</v>
      </c>
      <c r="E138" t="s">
        <v>66</v>
      </c>
      <c r="F138" t="s">
        <v>40</v>
      </c>
      <c r="G138" t="s">
        <v>1187</v>
      </c>
      <c r="H138" t="s">
        <v>1217</v>
      </c>
      <c r="I138" t="s">
        <v>260</v>
      </c>
      <c r="J138" t="s">
        <v>266</v>
      </c>
      <c r="K138">
        <v>6</v>
      </c>
      <c r="L138" t="s">
        <v>1189</v>
      </c>
      <c r="M138" t="s">
        <v>1190</v>
      </c>
      <c r="N138">
        <v>21</v>
      </c>
      <c r="O138" t="s">
        <v>653</v>
      </c>
      <c r="P138">
        <v>33250</v>
      </c>
      <c r="Q138">
        <v>1</v>
      </c>
      <c r="R138">
        <v>1</v>
      </c>
      <c r="S138" t="s">
        <v>653</v>
      </c>
      <c r="T138" t="s">
        <v>1191</v>
      </c>
      <c r="U138" t="s">
        <v>653</v>
      </c>
      <c r="V138" t="s">
        <v>1180</v>
      </c>
      <c r="W138" t="s">
        <v>1193</v>
      </c>
      <c r="X138">
        <v>5</v>
      </c>
    </row>
    <row r="139" spans="1:24" x14ac:dyDescent="0.25">
      <c r="A139">
        <v>138</v>
      </c>
      <c r="B139" t="s">
        <v>1346</v>
      </c>
      <c r="C139" t="s">
        <v>43</v>
      </c>
      <c r="D139">
        <v>4</v>
      </c>
      <c r="E139" t="s">
        <v>49</v>
      </c>
      <c r="F139" t="s">
        <v>49</v>
      </c>
      <c r="G139" t="s">
        <v>1197</v>
      </c>
      <c r="H139" t="s">
        <v>1239</v>
      </c>
      <c r="I139" t="s">
        <v>261</v>
      </c>
      <c r="J139" t="s">
        <v>269</v>
      </c>
      <c r="K139">
        <v>8</v>
      </c>
      <c r="L139" t="s">
        <v>1189</v>
      </c>
      <c r="M139" t="s">
        <v>1190</v>
      </c>
      <c r="N139">
        <v>45</v>
      </c>
      <c r="O139" t="s">
        <v>653</v>
      </c>
      <c r="P139">
        <v>10303</v>
      </c>
      <c r="Q139">
        <v>8</v>
      </c>
      <c r="R139">
        <v>4</v>
      </c>
      <c r="S139" t="s">
        <v>647</v>
      </c>
      <c r="T139" t="s">
        <v>1191</v>
      </c>
      <c r="U139" t="s">
        <v>647</v>
      </c>
      <c r="V139" t="s">
        <v>1180</v>
      </c>
      <c r="W139" t="s">
        <v>1193</v>
      </c>
      <c r="X139">
        <v>5</v>
      </c>
    </row>
    <row r="140" spans="1:24" x14ac:dyDescent="0.25">
      <c r="A140">
        <v>139</v>
      </c>
      <c r="B140" t="s">
        <v>1347</v>
      </c>
      <c r="C140" t="s">
        <v>30</v>
      </c>
      <c r="D140">
        <v>14</v>
      </c>
      <c r="E140" t="s">
        <v>49</v>
      </c>
      <c r="F140" t="s">
        <v>40</v>
      </c>
      <c r="G140" t="s">
        <v>1187</v>
      </c>
      <c r="H140" t="s">
        <v>1201</v>
      </c>
      <c r="I140" t="s">
        <v>262</v>
      </c>
      <c r="J140" t="s">
        <v>269</v>
      </c>
      <c r="K140">
        <v>7</v>
      </c>
      <c r="L140" t="s">
        <v>1189</v>
      </c>
      <c r="M140" t="s">
        <v>1190</v>
      </c>
      <c r="N140">
        <v>46</v>
      </c>
      <c r="O140" t="s">
        <v>647</v>
      </c>
      <c r="P140">
        <v>47353</v>
      </c>
      <c r="Q140">
        <v>1</v>
      </c>
      <c r="R140">
        <v>2</v>
      </c>
      <c r="S140" t="s">
        <v>653</v>
      </c>
      <c r="T140" t="s">
        <v>1191</v>
      </c>
      <c r="U140" t="s">
        <v>653</v>
      </c>
      <c r="V140" t="s">
        <v>46</v>
      </c>
      <c r="W140" t="s">
        <v>1184</v>
      </c>
      <c r="X140">
        <v>4</v>
      </c>
    </row>
    <row r="141" spans="1:24" x14ac:dyDescent="0.25">
      <c r="A141">
        <v>140</v>
      </c>
      <c r="B141" t="s">
        <v>1348</v>
      </c>
      <c r="C141" t="s">
        <v>30</v>
      </c>
      <c r="D141">
        <v>74</v>
      </c>
      <c r="E141" t="s">
        <v>66</v>
      </c>
      <c r="F141" t="s">
        <v>40</v>
      </c>
      <c r="G141" t="s">
        <v>1197</v>
      </c>
      <c r="H141" t="s">
        <v>1217</v>
      </c>
      <c r="I141" t="s">
        <v>263</v>
      </c>
      <c r="J141" t="s">
        <v>269</v>
      </c>
      <c r="K141">
        <v>6</v>
      </c>
      <c r="L141" t="s">
        <v>1189</v>
      </c>
      <c r="M141" t="s">
        <v>1190</v>
      </c>
      <c r="N141">
        <v>14</v>
      </c>
      <c r="O141" t="s">
        <v>647</v>
      </c>
      <c r="P141">
        <v>2508</v>
      </c>
      <c r="Q141">
        <v>2</v>
      </c>
      <c r="R141">
        <v>5</v>
      </c>
      <c r="S141" t="s">
        <v>653</v>
      </c>
      <c r="T141" t="s">
        <v>1191</v>
      </c>
      <c r="U141" t="s">
        <v>653</v>
      </c>
      <c r="V141" t="s">
        <v>1180</v>
      </c>
      <c r="W141" t="s">
        <v>1184</v>
      </c>
      <c r="X141">
        <v>5</v>
      </c>
    </row>
    <row r="142" spans="1:24" x14ac:dyDescent="0.25">
      <c r="A142">
        <v>141</v>
      </c>
      <c r="B142" t="s">
        <v>1349</v>
      </c>
      <c r="C142" t="s">
        <v>43</v>
      </c>
      <c r="D142">
        <v>61</v>
      </c>
      <c r="E142" t="s">
        <v>66</v>
      </c>
      <c r="F142" t="s">
        <v>27</v>
      </c>
      <c r="G142" t="s">
        <v>1200</v>
      </c>
      <c r="H142" t="s">
        <v>1203</v>
      </c>
      <c r="I142" t="s">
        <v>264</v>
      </c>
      <c r="J142" t="s">
        <v>266</v>
      </c>
      <c r="K142">
        <v>2</v>
      </c>
      <c r="L142" t="s">
        <v>1189</v>
      </c>
      <c r="M142" t="s">
        <v>1190</v>
      </c>
      <c r="N142">
        <v>10</v>
      </c>
      <c r="O142" t="s">
        <v>653</v>
      </c>
      <c r="P142">
        <v>24026</v>
      </c>
      <c r="Q142">
        <v>1</v>
      </c>
      <c r="R142">
        <v>4</v>
      </c>
      <c r="S142" t="s">
        <v>653</v>
      </c>
      <c r="T142" t="s">
        <v>1191</v>
      </c>
      <c r="U142" t="s">
        <v>653</v>
      </c>
      <c r="V142" t="s">
        <v>1180</v>
      </c>
      <c r="W142" t="s">
        <v>1184</v>
      </c>
      <c r="X142">
        <v>3</v>
      </c>
    </row>
    <row r="143" spans="1:24" x14ac:dyDescent="0.25">
      <c r="A143">
        <v>142</v>
      </c>
      <c r="B143" t="s">
        <v>1350</v>
      </c>
      <c r="C143" t="s">
        <v>43</v>
      </c>
      <c r="D143">
        <v>49</v>
      </c>
      <c r="E143" t="s">
        <v>66</v>
      </c>
      <c r="F143" t="s">
        <v>40</v>
      </c>
      <c r="G143" t="s">
        <v>1200</v>
      </c>
      <c r="H143" t="s">
        <v>1203</v>
      </c>
      <c r="I143" t="s">
        <v>265</v>
      </c>
      <c r="J143" t="s">
        <v>1351</v>
      </c>
      <c r="K143">
        <v>9</v>
      </c>
      <c r="L143" t="s">
        <v>1189</v>
      </c>
      <c r="M143" t="s">
        <v>1190</v>
      </c>
      <c r="N143">
        <v>4</v>
      </c>
      <c r="O143" t="s">
        <v>647</v>
      </c>
      <c r="P143">
        <v>31988</v>
      </c>
      <c r="Q143">
        <v>8</v>
      </c>
      <c r="R143">
        <v>4</v>
      </c>
      <c r="S143" t="s">
        <v>653</v>
      </c>
      <c r="T143" t="s">
        <v>1191</v>
      </c>
      <c r="U143" t="s">
        <v>647</v>
      </c>
      <c r="V143" t="s">
        <v>1180</v>
      </c>
      <c r="W143" t="s">
        <v>279</v>
      </c>
      <c r="X143">
        <v>5</v>
      </c>
    </row>
    <row r="144" spans="1:24" x14ac:dyDescent="0.25">
      <c r="A144">
        <v>143</v>
      </c>
      <c r="B144" t="s">
        <v>1352</v>
      </c>
      <c r="C144" t="s">
        <v>30</v>
      </c>
      <c r="D144">
        <v>22</v>
      </c>
      <c r="E144" t="s">
        <v>49</v>
      </c>
      <c r="F144" t="s">
        <v>27</v>
      </c>
      <c r="G144" t="s">
        <v>1187</v>
      </c>
      <c r="H144" t="s">
        <v>1222</v>
      </c>
      <c r="I144" t="s">
        <v>266</v>
      </c>
      <c r="J144" t="s">
        <v>273</v>
      </c>
      <c r="K144">
        <v>6</v>
      </c>
      <c r="L144" t="s">
        <v>1189</v>
      </c>
      <c r="M144" t="s">
        <v>1190</v>
      </c>
      <c r="N144">
        <v>29</v>
      </c>
      <c r="O144" t="s">
        <v>653</v>
      </c>
      <c r="P144">
        <v>13409</v>
      </c>
      <c r="Q144">
        <v>2</v>
      </c>
      <c r="R144">
        <v>3</v>
      </c>
      <c r="S144" t="s">
        <v>647</v>
      </c>
      <c r="T144" t="s">
        <v>1191</v>
      </c>
      <c r="U144" t="s">
        <v>653</v>
      </c>
      <c r="V144" t="s">
        <v>1180</v>
      </c>
      <c r="W144" t="s">
        <v>1193</v>
      </c>
      <c r="X144">
        <v>3</v>
      </c>
    </row>
    <row r="145" spans="1:24" x14ac:dyDescent="0.25">
      <c r="A145">
        <v>144</v>
      </c>
      <c r="B145" t="s">
        <v>1353</v>
      </c>
      <c r="C145" t="s">
        <v>43</v>
      </c>
      <c r="D145">
        <v>2</v>
      </c>
      <c r="E145" t="s">
        <v>49</v>
      </c>
      <c r="F145" t="s">
        <v>27</v>
      </c>
      <c r="G145" t="s">
        <v>1200</v>
      </c>
      <c r="H145" t="s">
        <v>1239</v>
      </c>
      <c r="I145" t="s">
        <v>267</v>
      </c>
      <c r="J145" t="s">
        <v>1354</v>
      </c>
      <c r="K145">
        <v>8</v>
      </c>
      <c r="L145" t="s">
        <v>1189</v>
      </c>
      <c r="M145" t="s">
        <v>1190</v>
      </c>
      <c r="N145">
        <v>5</v>
      </c>
      <c r="O145" t="s">
        <v>653</v>
      </c>
      <c r="P145">
        <v>43558</v>
      </c>
      <c r="Q145">
        <v>3</v>
      </c>
      <c r="R145">
        <v>5</v>
      </c>
      <c r="S145" t="s">
        <v>647</v>
      </c>
      <c r="T145" t="s">
        <v>1191</v>
      </c>
      <c r="U145" t="s">
        <v>653</v>
      </c>
      <c r="V145" t="s">
        <v>1180</v>
      </c>
      <c r="W145" t="s">
        <v>279</v>
      </c>
      <c r="X145">
        <v>5</v>
      </c>
    </row>
    <row r="146" spans="1:24" x14ac:dyDescent="0.25">
      <c r="A146">
        <v>145</v>
      </c>
      <c r="B146" t="s">
        <v>1355</v>
      </c>
      <c r="C146" t="s">
        <v>43</v>
      </c>
      <c r="D146">
        <v>10</v>
      </c>
      <c r="E146" t="s">
        <v>66</v>
      </c>
      <c r="F146" t="s">
        <v>49</v>
      </c>
      <c r="G146" t="s">
        <v>1187</v>
      </c>
      <c r="H146" t="s">
        <v>1213</v>
      </c>
      <c r="I146" t="s">
        <v>268</v>
      </c>
      <c r="J146" t="s">
        <v>274</v>
      </c>
      <c r="K146">
        <v>5</v>
      </c>
      <c r="L146" t="s">
        <v>1189</v>
      </c>
      <c r="M146" t="s">
        <v>1190</v>
      </c>
      <c r="N146">
        <v>30</v>
      </c>
      <c r="O146" t="s">
        <v>653</v>
      </c>
      <c r="P146">
        <v>49900</v>
      </c>
      <c r="Q146">
        <v>1</v>
      </c>
      <c r="R146">
        <v>4</v>
      </c>
      <c r="S146" t="s">
        <v>647</v>
      </c>
      <c r="T146" t="s">
        <v>1191</v>
      </c>
      <c r="U146" t="s">
        <v>653</v>
      </c>
      <c r="V146" t="s">
        <v>1180</v>
      </c>
      <c r="W146" t="s">
        <v>1193</v>
      </c>
      <c r="X146">
        <v>5</v>
      </c>
    </row>
    <row r="147" spans="1:24" x14ac:dyDescent="0.25">
      <c r="A147">
        <v>146</v>
      </c>
      <c r="B147" t="s">
        <v>1356</v>
      </c>
      <c r="C147" t="s">
        <v>30</v>
      </c>
      <c r="D147">
        <v>60</v>
      </c>
      <c r="E147" t="s">
        <v>49</v>
      </c>
      <c r="F147" t="s">
        <v>40</v>
      </c>
      <c r="G147" t="s">
        <v>1187</v>
      </c>
      <c r="H147" t="s">
        <v>1249</v>
      </c>
      <c r="I147" t="s">
        <v>269</v>
      </c>
      <c r="J147" t="s">
        <v>1354</v>
      </c>
      <c r="K147">
        <v>6</v>
      </c>
      <c r="L147" t="s">
        <v>1189</v>
      </c>
      <c r="M147" t="s">
        <v>1190</v>
      </c>
      <c r="N147">
        <v>16</v>
      </c>
      <c r="O147" t="s">
        <v>653</v>
      </c>
      <c r="P147">
        <v>34529</v>
      </c>
      <c r="Q147">
        <v>6</v>
      </c>
      <c r="R147">
        <v>4</v>
      </c>
      <c r="S147" t="s">
        <v>653</v>
      </c>
      <c r="T147" t="s">
        <v>1191</v>
      </c>
      <c r="U147" t="s">
        <v>647</v>
      </c>
      <c r="V147" t="s">
        <v>46</v>
      </c>
      <c r="W147" t="s">
        <v>1184</v>
      </c>
      <c r="X147">
        <v>4</v>
      </c>
    </row>
    <row r="148" spans="1:24" x14ac:dyDescent="0.25">
      <c r="A148">
        <v>147</v>
      </c>
      <c r="B148" t="s">
        <v>1357</v>
      </c>
      <c r="C148" t="s">
        <v>43</v>
      </c>
      <c r="D148">
        <v>82</v>
      </c>
      <c r="E148" t="s">
        <v>49</v>
      </c>
      <c r="F148" t="s">
        <v>49</v>
      </c>
      <c r="G148" t="s">
        <v>1187</v>
      </c>
      <c r="H148" t="s">
        <v>1222</v>
      </c>
      <c r="I148" t="s">
        <v>270</v>
      </c>
      <c r="J148" t="s">
        <v>1358</v>
      </c>
      <c r="K148">
        <v>9</v>
      </c>
      <c r="L148" t="s">
        <v>1189</v>
      </c>
      <c r="M148" t="s">
        <v>1190</v>
      </c>
      <c r="N148">
        <v>46</v>
      </c>
      <c r="O148" t="s">
        <v>647</v>
      </c>
      <c r="P148">
        <v>12908</v>
      </c>
      <c r="Q148">
        <v>1</v>
      </c>
      <c r="R148">
        <v>0</v>
      </c>
      <c r="S148" t="s">
        <v>653</v>
      </c>
      <c r="T148" t="s">
        <v>1191</v>
      </c>
      <c r="U148" t="s">
        <v>653</v>
      </c>
      <c r="V148" t="s">
        <v>1180</v>
      </c>
      <c r="W148" t="s">
        <v>279</v>
      </c>
      <c r="X148">
        <v>3</v>
      </c>
    </row>
    <row r="149" spans="1:24" x14ac:dyDescent="0.25">
      <c r="A149">
        <v>148</v>
      </c>
      <c r="B149" t="s">
        <v>1359</v>
      </c>
      <c r="C149" t="s">
        <v>30</v>
      </c>
      <c r="D149">
        <v>81</v>
      </c>
      <c r="E149" t="s">
        <v>27</v>
      </c>
      <c r="F149" t="s">
        <v>27</v>
      </c>
      <c r="G149" t="s">
        <v>1187</v>
      </c>
      <c r="H149" t="s">
        <v>1217</v>
      </c>
      <c r="I149" t="s">
        <v>272</v>
      </c>
      <c r="J149" t="s">
        <v>1354</v>
      </c>
      <c r="K149">
        <v>4</v>
      </c>
      <c r="L149" t="s">
        <v>1189</v>
      </c>
      <c r="M149" t="s">
        <v>1190</v>
      </c>
      <c r="N149">
        <v>19</v>
      </c>
      <c r="O149" t="s">
        <v>647</v>
      </c>
      <c r="P149">
        <v>43604</v>
      </c>
      <c r="Q149">
        <v>8</v>
      </c>
      <c r="R149">
        <v>2</v>
      </c>
      <c r="S149" t="s">
        <v>647</v>
      </c>
      <c r="T149" t="s">
        <v>1191</v>
      </c>
      <c r="U149" t="s">
        <v>653</v>
      </c>
      <c r="V149" t="s">
        <v>1180</v>
      </c>
      <c r="W149" t="s">
        <v>279</v>
      </c>
      <c r="X149">
        <v>3</v>
      </c>
    </row>
    <row r="150" spans="1:24" x14ac:dyDescent="0.25">
      <c r="A150">
        <v>149</v>
      </c>
      <c r="B150" t="s">
        <v>1360</v>
      </c>
      <c r="C150" t="s">
        <v>30</v>
      </c>
      <c r="D150">
        <v>26</v>
      </c>
      <c r="E150" t="s">
        <v>66</v>
      </c>
      <c r="F150" t="s">
        <v>27</v>
      </c>
      <c r="G150" t="s">
        <v>1200</v>
      </c>
      <c r="H150" t="s">
        <v>1222</v>
      </c>
      <c r="I150" t="s">
        <v>273</v>
      </c>
      <c r="J150" t="s">
        <v>1361</v>
      </c>
      <c r="K150">
        <v>6</v>
      </c>
      <c r="L150" t="s">
        <v>1189</v>
      </c>
      <c r="M150" t="s">
        <v>1190</v>
      </c>
      <c r="N150">
        <v>1</v>
      </c>
      <c r="O150" t="s">
        <v>653</v>
      </c>
      <c r="P150">
        <v>20566</v>
      </c>
      <c r="Q150">
        <v>5</v>
      </c>
      <c r="R150">
        <v>4</v>
      </c>
      <c r="S150" t="s">
        <v>647</v>
      </c>
      <c r="T150" t="s">
        <v>1191</v>
      </c>
      <c r="U150" t="s">
        <v>653</v>
      </c>
      <c r="V150" t="s">
        <v>1180</v>
      </c>
      <c r="W150" t="s">
        <v>1193</v>
      </c>
      <c r="X150">
        <v>3</v>
      </c>
    </row>
    <row r="151" spans="1:24" x14ac:dyDescent="0.25">
      <c r="A151">
        <v>150</v>
      </c>
      <c r="B151" t="s">
        <v>1362</v>
      </c>
      <c r="C151" t="s">
        <v>43</v>
      </c>
      <c r="D151">
        <v>84</v>
      </c>
      <c r="E151" t="s">
        <v>66</v>
      </c>
      <c r="F151" t="s">
        <v>49</v>
      </c>
      <c r="G151" t="s">
        <v>1187</v>
      </c>
      <c r="H151" t="s">
        <v>1249</v>
      </c>
      <c r="I151" t="s">
        <v>274</v>
      </c>
      <c r="J151" t="s">
        <v>1354</v>
      </c>
      <c r="K151">
        <v>2</v>
      </c>
      <c r="L151" t="s">
        <v>1189</v>
      </c>
      <c r="M151" t="s">
        <v>1190</v>
      </c>
      <c r="N151">
        <v>45</v>
      </c>
      <c r="O151" t="s">
        <v>647</v>
      </c>
      <c r="P151">
        <v>31328</v>
      </c>
      <c r="Q151">
        <v>1</v>
      </c>
      <c r="R151">
        <v>1</v>
      </c>
      <c r="S151" t="s">
        <v>647</v>
      </c>
      <c r="T151" t="s">
        <v>1191</v>
      </c>
      <c r="U151" t="s">
        <v>653</v>
      </c>
      <c r="V151" t="s">
        <v>46</v>
      </c>
      <c r="W151" t="s">
        <v>1193</v>
      </c>
      <c r="X151">
        <v>4</v>
      </c>
    </row>
    <row r="156" spans="1:24" x14ac:dyDescent="0.25">
      <c r="A156" t="s">
        <v>275</v>
      </c>
    </row>
    <row r="157" spans="1:24" x14ac:dyDescent="0.25">
      <c r="A157" t="s">
        <v>20</v>
      </c>
    </row>
    <row r="158" spans="1:24" x14ac:dyDescent="0.25">
      <c r="A158" t="s">
        <v>22</v>
      </c>
    </row>
    <row r="159" spans="1:24" x14ac:dyDescent="0.25">
      <c r="A159" t="s">
        <v>276</v>
      </c>
    </row>
    <row r="160" spans="1:24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14</v>
      </c>
      <c r="C1" t="s">
        <v>15</v>
      </c>
      <c r="D1" t="s">
        <v>16</v>
      </c>
      <c r="E1" t="s">
        <v>625</v>
      </c>
      <c r="F1" t="s">
        <v>1363</v>
      </c>
      <c r="G1" t="s">
        <v>7</v>
      </c>
      <c r="H1" t="s">
        <v>8</v>
      </c>
      <c r="I1" t="s">
        <v>1</v>
      </c>
      <c r="J1" t="s">
        <v>1364</v>
      </c>
      <c r="K1" t="s">
        <v>1365</v>
      </c>
      <c r="L1" t="s">
        <v>1366</v>
      </c>
      <c r="M1" t="s">
        <v>1367</v>
      </c>
      <c r="N1" t="s">
        <v>1368</v>
      </c>
      <c r="O1" t="s">
        <v>1369</v>
      </c>
      <c r="P1" t="s">
        <v>1370</v>
      </c>
      <c r="Q1" t="s">
        <v>1371</v>
      </c>
      <c r="R1" t="s">
        <v>628</v>
      </c>
      <c r="S1" t="s">
        <v>1372</v>
      </c>
      <c r="T1" t="s">
        <v>1176</v>
      </c>
      <c r="U1" t="s">
        <v>1373</v>
      </c>
      <c r="V1" t="s">
        <v>1374</v>
      </c>
      <c r="W1" t="s">
        <v>1375</v>
      </c>
      <c r="X1" t="s">
        <v>24</v>
      </c>
      <c r="Y1" t="s">
        <v>635</v>
      </c>
    </row>
    <row r="2" spans="1:25" x14ac:dyDescent="0.25">
      <c r="A2">
        <v>1</v>
      </c>
      <c r="B2" t="s">
        <v>1376</v>
      </c>
      <c r="C2" t="s">
        <v>1377</v>
      </c>
      <c r="D2" t="s">
        <v>35</v>
      </c>
      <c r="E2" t="s">
        <v>775</v>
      </c>
      <c r="F2" t="s">
        <v>1378</v>
      </c>
      <c r="G2" t="s">
        <v>49</v>
      </c>
      <c r="H2" t="s">
        <v>66</v>
      </c>
      <c r="I2" t="s">
        <v>25</v>
      </c>
      <c r="J2">
        <v>65</v>
      </c>
      <c r="K2">
        <v>36</v>
      </c>
      <c r="L2">
        <v>30</v>
      </c>
      <c r="M2">
        <v>71</v>
      </c>
      <c r="N2">
        <v>30</v>
      </c>
      <c r="O2">
        <v>300</v>
      </c>
      <c r="P2">
        <v>1856</v>
      </c>
      <c r="Q2">
        <v>2412</v>
      </c>
      <c r="R2">
        <v>131776</v>
      </c>
      <c r="S2">
        <v>1.7</v>
      </c>
      <c r="T2">
        <v>52</v>
      </c>
      <c r="U2" t="s">
        <v>25</v>
      </c>
      <c r="V2" t="s">
        <v>62</v>
      </c>
      <c r="W2" t="s">
        <v>50</v>
      </c>
      <c r="X2" t="s">
        <v>310</v>
      </c>
    </row>
    <row r="3" spans="1:25" x14ac:dyDescent="0.25">
      <c r="A3">
        <v>2</v>
      </c>
      <c r="B3" t="s">
        <v>1379</v>
      </c>
      <c r="C3" t="s">
        <v>1377</v>
      </c>
      <c r="D3" t="s">
        <v>64</v>
      </c>
      <c r="E3" t="s">
        <v>41</v>
      </c>
      <c r="F3" t="s">
        <v>1380</v>
      </c>
      <c r="G3" t="s">
        <v>27</v>
      </c>
      <c r="H3" t="s">
        <v>27</v>
      </c>
      <c r="I3" t="s">
        <v>38</v>
      </c>
      <c r="J3">
        <v>35</v>
      </c>
      <c r="K3">
        <v>29</v>
      </c>
      <c r="L3">
        <v>40</v>
      </c>
      <c r="M3">
        <v>24</v>
      </c>
      <c r="N3">
        <v>30</v>
      </c>
      <c r="O3">
        <v>300</v>
      </c>
      <c r="P3">
        <v>1582</v>
      </c>
      <c r="Q3">
        <v>2056</v>
      </c>
      <c r="R3">
        <v>37968</v>
      </c>
      <c r="S3">
        <v>7.5</v>
      </c>
      <c r="T3">
        <v>82</v>
      </c>
      <c r="U3" t="s">
        <v>38</v>
      </c>
      <c r="V3" t="s">
        <v>65</v>
      </c>
      <c r="W3" t="s">
        <v>29</v>
      </c>
      <c r="X3" t="s">
        <v>310</v>
      </c>
    </row>
    <row r="4" spans="1:25" x14ac:dyDescent="0.25">
      <c r="A4">
        <v>3</v>
      </c>
      <c r="B4" t="s">
        <v>1381</v>
      </c>
      <c r="C4" t="s">
        <v>1382</v>
      </c>
      <c r="D4" t="s">
        <v>35</v>
      </c>
      <c r="E4" t="s">
        <v>739</v>
      </c>
      <c r="F4" t="s">
        <v>1383</v>
      </c>
      <c r="G4" t="s">
        <v>49</v>
      </c>
      <c r="H4" t="s">
        <v>66</v>
      </c>
      <c r="I4" t="s">
        <v>47</v>
      </c>
      <c r="J4">
        <v>142</v>
      </c>
      <c r="K4">
        <v>13</v>
      </c>
      <c r="L4">
        <v>19</v>
      </c>
      <c r="M4">
        <v>136</v>
      </c>
      <c r="N4">
        <v>30</v>
      </c>
      <c r="O4">
        <v>300</v>
      </c>
      <c r="P4">
        <v>4547</v>
      </c>
      <c r="Q4">
        <v>5911</v>
      </c>
      <c r="R4">
        <v>618392</v>
      </c>
      <c r="S4">
        <v>2.9</v>
      </c>
      <c r="T4">
        <v>22</v>
      </c>
      <c r="U4" t="s">
        <v>47</v>
      </c>
      <c r="V4" t="s">
        <v>68</v>
      </c>
      <c r="W4" t="s">
        <v>75</v>
      </c>
      <c r="X4" t="s">
        <v>310</v>
      </c>
    </row>
    <row r="5" spans="1:25" x14ac:dyDescent="0.25">
      <c r="A5">
        <v>4</v>
      </c>
      <c r="B5" t="s">
        <v>1384</v>
      </c>
      <c r="C5" t="s">
        <v>1385</v>
      </c>
      <c r="D5" t="s">
        <v>45</v>
      </c>
      <c r="E5" t="s">
        <v>699</v>
      </c>
      <c r="F5" t="s">
        <v>1383</v>
      </c>
      <c r="G5" t="s">
        <v>40</v>
      </c>
      <c r="H5" t="s">
        <v>49</v>
      </c>
      <c r="I5" t="s">
        <v>53</v>
      </c>
      <c r="J5">
        <v>95</v>
      </c>
      <c r="K5">
        <v>2</v>
      </c>
      <c r="L5">
        <v>24</v>
      </c>
      <c r="M5">
        <v>73</v>
      </c>
      <c r="N5">
        <v>30</v>
      </c>
      <c r="O5">
        <v>300</v>
      </c>
      <c r="P5">
        <v>4729</v>
      </c>
      <c r="Q5">
        <v>6147</v>
      </c>
      <c r="R5">
        <v>345217</v>
      </c>
      <c r="S5">
        <v>1.8</v>
      </c>
      <c r="T5">
        <v>68</v>
      </c>
      <c r="U5" t="s">
        <v>53</v>
      </c>
      <c r="V5" t="s">
        <v>70</v>
      </c>
      <c r="W5" t="s">
        <v>29</v>
      </c>
      <c r="X5" t="s">
        <v>310</v>
      </c>
    </row>
    <row r="6" spans="1:25" x14ac:dyDescent="0.25">
      <c r="A6">
        <v>5</v>
      </c>
      <c r="B6" t="s">
        <v>1386</v>
      </c>
      <c r="C6" t="s">
        <v>1385</v>
      </c>
      <c r="D6" t="s">
        <v>64</v>
      </c>
      <c r="E6" t="s">
        <v>640</v>
      </c>
      <c r="F6" t="s">
        <v>1380</v>
      </c>
      <c r="G6" t="s">
        <v>49</v>
      </c>
      <c r="H6" t="s">
        <v>27</v>
      </c>
      <c r="I6" t="s">
        <v>58</v>
      </c>
      <c r="J6">
        <v>131</v>
      </c>
      <c r="K6">
        <v>55</v>
      </c>
      <c r="L6">
        <v>4</v>
      </c>
      <c r="M6">
        <v>182</v>
      </c>
      <c r="N6">
        <v>30</v>
      </c>
      <c r="O6">
        <v>300</v>
      </c>
      <c r="P6">
        <v>1609</v>
      </c>
      <c r="Q6">
        <v>2091</v>
      </c>
      <c r="R6">
        <v>292838</v>
      </c>
      <c r="S6">
        <v>10.6</v>
      </c>
      <c r="T6">
        <v>71</v>
      </c>
      <c r="U6" t="s">
        <v>58</v>
      </c>
      <c r="V6" t="s">
        <v>72</v>
      </c>
      <c r="W6" t="s">
        <v>42</v>
      </c>
      <c r="X6" t="s">
        <v>310</v>
      </c>
    </row>
    <row r="7" spans="1:25" x14ac:dyDescent="0.25">
      <c r="A7">
        <v>6</v>
      </c>
      <c r="B7" t="s">
        <v>1387</v>
      </c>
      <c r="C7" t="s">
        <v>1382</v>
      </c>
      <c r="D7" t="s">
        <v>56</v>
      </c>
      <c r="E7" t="s">
        <v>714</v>
      </c>
      <c r="F7" t="s">
        <v>1380</v>
      </c>
      <c r="G7" t="s">
        <v>27</v>
      </c>
      <c r="H7" t="s">
        <v>66</v>
      </c>
      <c r="I7" t="s">
        <v>62</v>
      </c>
      <c r="J7">
        <v>165</v>
      </c>
      <c r="K7">
        <v>29</v>
      </c>
      <c r="L7">
        <v>33</v>
      </c>
      <c r="M7">
        <v>161</v>
      </c>
      <c r="N7">
        <v>30</v>
      </c>
      <c r="O7">
        <v>300</v>
      </c>
      <c r="P7">
        <v>2264</v>
      </c>
      <c r="Q7">
        <v>2943</v>
      </c>
      <c r="R7">
        <v>364504</v>
      </c>
      <c r="S7">
        <v>11.5</v>
      </c>
      <c r="T7">
        <v>48</v>
      </c>
      <c r="U7" t="s">
        <v>62</v>
      </c>
      <c r="V7" t="s">
        <v>74</v>
      </c>
      <c r="W7" t="s">
        <v>42</v>
      </c>
      <c r="X7" t="s">
        <v>310</v>
      </c>
    </row>
    <row r="8" spans="1:25" x14ac:dyDescent="0.25">
      <c r="A8">
        <v>7</v>
      </c>
      <c r="B8" t="s">
        <v>1388</v>
      </c>
      <c r="C8" t="s">
        <v>1382</v>
      </c>
      <c r="D8" t="s">
        <v>64</v>
      </c>
      <c r="E8" t="s">
        <v>739</v>
      </c>
      <c r="F8" t="s">
        <v>1380</v>
      </c>
      <c r="G8" t="s">
        <v>40</v>
      </c>
      <c r="H8" t="s">
        <v>66</v>
      </c>
      <c r="I8" t="s">
        <v>65</v>
      </c>
      <c r="J8">
        <v>82</v>
      </c>
      <c r="K8">
        <v>11</v>
      </c>
      <c r="L8">
        <v>0</v>
      </c>
      <c r="M8">
        <v>93</v>
      </c>
      <c r="N8">
        <v>30</v>
      </c>
      <c r="O8">
        <v>300</v>
      </c>
      <c r="P8">
        <v>3605</v>
      </c>
      <c r="Q8">
        <v>4686</v>
      </c>
      <c r="R8">
        <v>335265</v>
      </c>
      <c r="S8">
        <v>4.9000000000000004</v>
      </c>
      <c r="T8">
        <v>62</v>
      </c>
      <c r="U8" t="s">
        <v>65</v>
      </c>
      <c r="V8" t="s">
        <v>78</v>
      </c>
      <c r="W8" t="s">
        <v>42</v>
      </c>
      <c r="X8" t="s">
        <v>310</v>
      </c>
    </row>
    <row r="9" spans="1:25" x14ac:dyDescent="0.25">
      <c r="A9">
        <v>8</v>
      </c>
      <c r="B9" t="s">
        <v>1389</v>
      </c>
      <c r="C9" t="s">
        <v>1377</v>
      </c>
      <c r="D9" t="s">
        <v>56</v>
      </c>
      <c r="E9" t="s">
        <v>726</v>
      </c>
      <c r="F9" t="s">
        <v>1383</v>
      </c>
      <c r="G9" t="s">
        <v>40</v>
      </c>
      <c r="H9" t="s">
        <v>27</v>
      </c>
      <c r="I9" t="s">
        <v>68</v>
      </c>
      <c r="J9">
        <v>50</v>
      </c>
      <c r="K9">
        <v>71</v>
      </c>
      <c r="L9">
        <v>41</v>
      </c>
      <c r="M9">
        <v>80</v>
      </c>
      <c r="N9">
        <v>30</v>
      </c>
      <c r="O9">
        <v>300</v>
      </c>
      <c r="P9">
        <v>552</v>
      </c>
      <c r="Q9">
        <v>717</v>
      </c>
      <c r="R9">
        <v>44160</v>
      </c>
      <c r="S9">
        <v>4.8</v>
      </c>
      <c r="T9">
        <v>89</v>
      </c>
      <c r="U9" t="s">
        <v>68</v>
      </c>
      <c r="V9" t="s">
        <v>79</v>
      </c>
      <c r="W9" t="s">
        <v>42</v>
      </c>
      <c r="X9" t="s">
        <v>310</v>
      </c>
    </row>
    <row r="10" spans="1:25" x14ac:dyDescent="0.25">
      <c r="A10">
        <v>9</v>
      </c>
      <c r="B10" t="s">
        <v>1390</v>
      </c>
      <c r="C10" t="s">
        <v>1385</v>
      </c>
      <c r="D10" t="s">
        <v>35</v>
      </c>
      <c r="E10" t="s">
        <v>680</v>
      </c>
      <c r="F10" t="s">
        <v>1378</v>
      </c>
      <c r="G10" t="s">
        <v>49</v>
      </c>
      <c r="H10" t="s">
        <v>49</v>
      </c>
      <c r="I10" t="s">
        <v>70</v>
      </c>
      <c r="J10">
        <v>159</v>
      </c>
      <c r="K10">
        <v>26</v>
      </c>
      <c r="L10">
        <v>34</v>
      </c>
      <c r="M10">
        <v>151</v>
      </c>
      <c r="N10">
        <v>30</v>
      </c>
      <c r="O10">
        <v>300</v>
      </c>
      <c r="P10">
        <v>3771</v>
      </c>
      <c r="Q10">
        <v>4902</v>
      </c>
      <c r="R10">
        <v>569421</v>
      </c>
      <c r="S10">
        <v>4.7</v>
      </c>
      <c r="T10">
        <v>77</v>
      </c>
      <c r="U10" t="s">
        <v>70</v>
      </c>
      <c r="V10" t="s">
        <v>81</v>
      </c>
      <c r="W10" t="s">
        <v>50</v>
      </c>
      <c r="X10" t="s">
        <v>310</v>
      </c>
    </row>
    <row r="11" spans="1:25" x14ac:dyDescent="0.25">
      <c r="A11">
        <v>10</v>
      </c>
      <c r="B11" t="s">
        <v>1391</v>
      </c>
      <c r="C11" t="s">
        <v>1385</v>
      </c>
      <c r="D11" t="s">
        <v>64</v>
      </c>
      <c r="E11" t="s">
        <v>770</v>
      </c>
      <c r="F11" t="s">
        <v>1383</v>
      </c>
      <c r="G11" t="s">
        <v>27</v>
      </c>
      <c r="H11" t="s">
        <v>66</v>
      </c>
      <c r="I11" t="s">
        <v>72</v>
      </c>
      <c r="J11">
        <v>128</v>
      </c>
      <c r="K11">
        <v>23</v>
      </c>
      <c r="L11">
        <v>26</v>
      </c>
      <c r="M11">
        <v>125</v>
      </c>
      <c r="N11">
        <v>30</v>
      </c>
      <c r="O11">
        <v>300</v>
      </c>
      <c r="P11">
        <v>2455</v>
      </c>
      <c r="Q11">
        <v>3191</v>
      </c>
      <c r="R11">
        <v>306875</v>
      </c>
      <c r="S11">
        <v>5.9</v>
      </c>
      <c r="T11">
        <v>38</v>
      </c>
      <c r="U11" t="s">
        <v>72</v>
      </c>
      <c r="V11" t="s">
        <v>83</v>
      </c>
      <c r="W11" t="s">
        <v>75</v>
      </c>
      <c r="X11" t="s">
        <v>310</v>
      </c>
    </row>
    <row r="12" spans="1:25" x14ac:dyDescent="0.25">
      <c r="A12">
        <v>11</v>
      </c>
      <c r="B12" t="s">
        <v>1392</v>
      </c>
      <c r="C12" t="s">
        <v>1377</v>
      </c>
      <c r="D12" t="s">
        <v>56</v>
      </c>
      <c r="E12" t="s">
        <v>662</v>
      </c>
      <c r="F12" t="s">
        <v>1380</v>
      </c>
      <c r="G12" t="s">
        <v>27</v>
      </c>
      <c r="H12" t="s">
        <v>49</v>
      </c>
      <c r="I12" t="s">
        <v>74</v>
      </c>
      <c r="J12">
        <v>115</v>
      </c>
      <c r="K12">
        <v>13</v>
      </c>
      <c r="L12">
        <v>2</v>
      </c>
      <c r="M12">
        <v>126</v>
      </c>
      <c r="N12">
        <v>30</v>
      </c>
      <c r="O12">
        <v>300</v>
      </c>
      <c r="P12">
        <v>4768</v>
      </c>
      <c r="Q12">
        <v>6198</v>
      </c>
      <c r="R12">
        <v>600768</v>
      </c>
      <c r="S12">
        <v>11.1</v>
      </c>
      <c r="T12">
        <v>44</v>
      </c>
      <c r="U12" t="s">
        <v>74</v>
      </c>
      <c r="V12" t="s">
        <v>84</v>
      </c>
      <c r="W12" t="s">
        <v>50</v>
      </c>
      <c r="X12" t="s">
        <v>310</v>
      </c>
    </row>
    <row r="13" spans="1:25" x14ac:dyDescent="0.25">
      <c r="A13">
        <v>12</v>
      </c>
      <c r="B13" t="s">
        <v>1393</v>
      </c>
      <c r="C13" t="s">
        <v>1382</v>
      </c>
      <c r="D13" t="s">
        <v>35</v>
      </c>
      <c r="E13" t="s">
        <v>671</v>
      </c>
      <c r="F13" t="s">
        <v>1383</v>
      </c>
      <c r="G13" t="s">
        <v>49</v>
      </c>
      <c r="H13" t="s">
        <v>27</v>
      </c>
      <c r="I13" t="s">
        <v>78</v>
      </c>
      <c r="J13">
        <v>198</v>
      </c>
      <c r="K13">
        <v>24</v>
      </c>
      <c r="L13">
        <v>6</v>
      </c>
      <c r="M13">
        <v>216</v>
      </c>
      <c r="N13">
        <v>30</v>
      </c>
      <c r="O13">
        <v>300</v>
      </c>
      <c r="P13">
        <v>2192</v>
      </c>
      <c r="Q13">
        <v>2849</v>
      </c>
      <c r="R13">
        <v>473472</v>
      </c>
      <c r="S13">
        <v>9.1</v>
      </c>
      <c r="T13">
        <v>31</v>
      </c>
      <c r="U13" t="s">
        <v>78</v>
      </c>
      <c r="V13" t="s">
        <v>86</v>
      </c>
      <c r="W13" t="s">
        <v>50</v>
      </c>
      <c r="X13" t="s">
        <v>310</v>
      </c>
    </row>
    <row r="14" spans="1:25" x14ac:dyDescent="0.25">
      <c r="A14">
        <v>13</v>
      </c>
      <c r="B14" t="s">
        <v>1394</v>
      </c>
      <c r="C14" t="s">
        <v>1382</v>
      </c>
      <c r="D14" t="s">
        <v>35</v>
      </c>
      <c r="E14" t="s">
        <v>719</v>
      </c>
      <c r="F14" t="s">
        <v>1380</v>
      </c>
      <c r="G14" t="s">
        <v>49</v>
      </c>
      <c r="H14" t="s">
        <v>49</v>
      </c>
      <c r="I14" t="s">
        <v>79</v>
      </c>
      <c r="J14">
        <v>163</v>
      </c>
      <c r="K14">
        <v>2</v>
      </c>
      <c r="L14">
        <v>30</v>
      </c>
      <c r="M14">
        <v>135</v>
      </c>
      <c r="N14">
        <v>30</v>
      </c>
      <c r="O14">
        <v>300</v>
      </c>
      <c r="P14">
        <v>1712</v>
      </c>
      <c r="Q14">
        <v>2225</v>
      </c>
      <c r="R14">
        <v>231120</v>
      </c>
      <c r="S14">
        <v>11.8</v>
      </c>
      <c r="T14">
        <v>68</v>
      </c>
      <c r="U14" t="s">
        <v>79</v>
      </c>
      <c r="V14" t="s">
        <v>88</v>
      </c>
      <c r="W14" t="s">
        <v>50</v>
      </c>
      <c r="X14" t="s">
        <v>310</v>
      </c>
    </row>
    <row r="15" spans="1:25" x14ac:dyDescent="0.25">
      <c r="A15">
        <v>14</v>
      </c>
      <c r="B15" t="s">
        <v>1395</v>
      </c>
      <c r="C15" t="s">
        <v>1385</v>
      </c>
      <c r="D15" t="s">
        <v>35</v>
      </c>
      <c r="E15" t="s">
        <v>671</v>
      </c>
      <c r="F15" t="s">
        <v>1378</v>
      </c>
      <c r="G15" t="s">
        <v>49</v>
      </c>
      <c r="H15" t="s">
        <v>49</v>
      </c>
      <c r="I15" t="s">
        <v>81</v>
      </c>
      <c r="J15">
        <v>52</v>
      </c>
      <c r="K15">
        <v>25</v>
      </c>
      <c r="L15">
        <v>30</v>
      </c>
      <c r="M15">
        <v>47</v>
      </c>
      <c r="N15">
        <v>30</v>
      </c>
      <c r="O15">
        <v>300</v>
      </c>
      <c r="P15">
        <v>1768</v>
      </c>
      <c r="Q15">
        <v>2298</v>
      </c>
      <c r="R15">
        <v>83096</v>
      </c>
      <c r="S15">
        <v>2.5</v>
      </c>
      <c r="T15">
        <v>32</v>
      </c>
      <c r="U15" t="s">
        <v>81</v>
      </c>
      <c r="V15" t="s">
        <v>90</v>
      </c>
      <c r="W15" t="s">
        <v>75</v>
      </c>
      <c r="X15" t="s">
        <v>310</v>
      </c>
    </row>
    <row r="16" spans="1:25" x14ac:dyDescent="0.25">
      <c r="A16">
        <v>15</v>
      </c>
      <c r="B16" t="s">
        <v>1396</v>
      </c>
      <c r="C16" t="s">
        <v>1385</v>
      </c>
      <c r="D16" t="s">
        <v>45</v>
      </c>
      <c r="E16" t="s">
        <v>687</v>
      </c>
      <c r="F16" t="s">
        <v>1378</v>
      </c>
      <c r="G16" t="s">
        <v>49</v>
      </c>
      <c r="H16" t="s">
        <v>49</v>
      </c>
      <c r="I16" t="s">
        <v>83</v>
      </c>
      <c r="J16">
        <v>117</v>
      </c>
      <c r="K16">
        <v>80</v>
      </c>
      <c r="L16">
        <v>43</v>
      </c>
      <c r="M16">
        <v>154</v>
      </c>
      <c r="N16">
        <v>30</v>
      </c>
      <c r="O16">
        <v>300</v>
      </c>
      <c r="P16">
        <v>2300</v>
      </c>
      <c r="Q16">
        <v>2990</v>
      </c>
      <c r="R16">
        <v>354200</v>
      </c>
      <c r="S16">
        <v>3.2</v>
      </c>
      <c r="T16">
        <v>68</v>
      </c>
      <c r="U16" t="s">
        <v>83</v>
      </c>
      <c r="V16" t="s">
        <v>91</v>
      </c>
      <c r="W16" t="s">
        <v>50</v>
      </c>
      <c r="X16" t="s">
        <v>310</v>
      </c>
    </row>
    <row r="17" spans="1:24" x14ac:dyDescent="0.25">
      <c r="A17">
        <v>16</v>
      </c>
      <c r="B17" t="s">
        <v>1397</v>
      </c>
      <c r="C17" t="s">
        <v>1377</v>
      </c>
      <c r="D17" t="s">
        <v>45</v>
      </c>
      <c r="E17" t="s">
        <v>657</v>
      </c>
      <c r="F17" t="s">
        <v>1383</v>
      </c>
      <c r="G17" t="s">
        <v>40</v>
      </c>
      <c r="H17" t="s">
        <v>66</v>
      </c>
      <c r="I17" t="s">
        <v>84</v>
      </c>
      <c r="J17">
        <v>65</v>
      </c>
      <c r="K17">
        <v>10</v>
      </c>
      <c r="L17">
        <v>21</v>
      </c>
      <c r="M17">
        <v>54</v>
      </c>
      <c r="N17">
        <v>30</v>
      </c>
      <c r="O17">
        <v>300</v>
      </c>
      <c r="P17">
        <v>3983</v>
      </c>
      <c r="Q17">
        <v>5177</v>
      </c>
      <c r="R17">
        <v>215082</v>
      </c>
      <c r="S17">
        <v>4.5</v>
      </c>
      <c r="T17">
        <v>77</v>
      </c>
      <c r="U17" t="s">
        <v>84</v>
      </c>
      <c r="V17" t="s">
        <v>93</v>
      </c>
      <c r="W17" t="s">
        <v>50</v>
      </c>
      <c r="X17" t="s">
        <v>310</v>
      </c>
    </row>
    <row r="18" spans="1:24" x14ac:dyDescent="0.25">
      <c r="A18">
        <v>17</v>
      </c>
      <c r="B18" t="s">
        <v>1398</v>
      </c>
      <c r="C18" t="s">
        <v>1382</v>
      </c>
      <c r="D18" t="s">
        <v>64</v>
      </c>
      <c r="E18" t="s">
        <v>28</v>
      </c>
      <c r="F18" t="s">
        <v>1378</v>
      </c>
      <c r="G18" t="s">
        <v>49</v>
      </c>
      <c r="H18" t="s">
        <v>27</v>
      </c>
      <c r="I18" t="s">
        <v>86</v>
      </c>
      <c r="J18">
        <v>79</v>
      </c>
      <c r="K18">
        <v>46</v>
      </c>
      <c r="L18">
        <v>20</v>
      </c>
      <c r="M18">
        <v>105</v>
      </c>
      <c r="N18">
        <v>30</v>
      </c>
      <c r="O18">
        <v>300</v>
      </c>
      <c r="P18">
        <v>397</v>
      </c>
      <c r="Q18">
        <v>516</v>
      </c>
      <c r="R18">
        <v>41685</v>
      </c>
      <c r="S18">
        <v>9.1999999999999993</v>
      </c>
      <c r="T18">
        <v>38</v>
      </c>
      <c r="U18" t="s">
        <v>86</v>
      </c>
      <c r="V18" t="s">
        <v>94</v>
      </c>
      <c r="W18" t="s">
        <v>75</v>
      </c>
      <c r="X18" t="s">
        <v>310</v>
      </c>
    </row>
    <row r="19" spans="1:24" x14ac:dyDescent="0.25">
      <c r="A19">
        <v>18</v>
      </c>
      <c r="B19" t="s">
        <v>1399</v>
      </c>
      <c r="C19" t="s">
        <v>1382</v>
      </c>
      <c r="D19" t="s">
        <v>56</v>
      </c>
      <c r="E19" t="s">
        <v>714</v>
      </c>
      <c r="F19" t="s">
        <v>1380</v>
      </c>
      <c r="G19" t="s">
        <v>40</v>
      </c>
      <c r="H19" t="s">
        <v>27</v>
      </c>
      <c r="I19" t="s">
        <v>88</v>
      </c>
      <c r="J19">
        <v>143</v>
      </c>
      <c r="K19">
        <v>0</v>
      </c>
      <c r="L19">
        <v>46</v>
      </c>
      <c r="M19">
        <v>97</v>
      </c>
      <c r="N19">
        <v>30</v>
      </c>
      <c r="O19">
        <v>300</v>
      </c>
      <c r="P19">
        <v>2843</v>
      </c>
      <c r="Q19">
        <v>3695</v>
      </c>
      <c r="R19">
        <v>275771</v>
      </c>
      <c r="S19">
        <v>9.4</v>
      </c>
      <c r="T19">
        <v>72</v>
      </c>
      <c r="U19" t="s">
        <v>88</v>
      </c>
      <c r="V19" t="s">
        <v>95</v>
      </c>
      <c r="W19" t="s">
        <v>50</v>
      </c>
      <c r="X19" t="s">
        <v>310</v>
      </c>
    </row>
    <row r="20" spans="1:24" x14ac:dyDescent="0.25">
      <c r="A20">
        <v>19</v>
      </c>
      <c r="B20" t="s">
        <v>1400</v>
      </c>
      <c r="C20" t="s">
        <v>1382</v>
      </c>
      <c r="D20" t="s">
        <v>35</v>
      </c>
      <c r="E20" t="s">
        <v>671</v>
      </c>
      <c r="F20" t="s">
        <v>1383</v>
      </c>
      <c r="G20" t="s">
        <v>40</v>
      </c>
      <c r="H20" t="s">
        <v>66</v>
      </c>
      <c r="I20" t="s">
        <v>90</v>
      </c>
      <c r="J20">
        <v>120</v>
      </c>
      <c r="K20">
        <v>79</v>
      </c>
      <c r="L20">
        <v>5</v>
      </c>
      <c r="M20">
        <v>194</v>
      </c>
      <c r="N20">
        <v>30</v>
      </c>
      <c r="O20">
        <v>300</v>
      </c>
      <c r="P20">
        <v>3272</v>
      </c>
      <c r="Q20">
        <v>4253</v>
      </c>
      <c r="R20">
        <v>634768</v>
      </c>
      <c r="S20">
        <v>11.4</v>
      </c>
      <c r="T20">
        <v>63</v>
      </c>
      <c r="U20" t="s">
        <v>90</v>
      </c>
      <c r="V20" t="s">
        <v>96</v>
      </c>
      <c r="W20" t="s">
        <v>29</v>
      </c>
      <c r="X20" t="s">
        <v>310</v>
      </c>
    </row>
    <row r="21" spans="1:24" x14ac:dyDescent="0.25">
      <c r="A21">
        <v>20</v>
      </c>
      <c r="B21" t="s">
        <v>1401</v>
      </c>
      <c r="C21" t="s">
        <v>1377</v>
      </c>
      <c r="D21" t="s">
        <v>56</v>
      </c>
      <c r="E21" t="s">
        <v>640</v>
      </c>
      <c r="F21" t="s">
        <v>1383</v>
      </c>
      <c r="G21" t="s">
        <v>49</v>
      </c>
      <c r="H21" t="s">
        <v>27</v>
      </c>
      <c r="I21" t="s">
        <v>91</v>
      </c>
      <c r="J21">
        <v>109</v>
      </c>
      <c r="K21">
        <v>7</v>
      </c>
      <c r="L21">
        <v>35</v>
      </c>
      <c r="M21">
        <v>81</v>
      </c>
      <c r="N21">
        <v>30</v>
      </c>
      <c r="O21">
        <v>300</v>
      </c>
      <c r="P21">
        <v>3658</v>
      </c>
      <c r="Q21">
        <v>4755</v>
      </c>
      <c r="R21">
        <v>296298</v>
      </c>
      <c r="S21">
        <v>6.3</v>
      </c>
      <c r="T21">
        <v>25</v>
      </c>
      <c r="U21" t="s">
        <v>91</v>
      </c>
      <c r="V21" t="s">
        <v>98</v>
      </c>
      <c r="W21" t="s">
        <v>29</v>
      </c>
      <c r="X21" t="s">
        <v>310</v>
      </c>
    </row>
    <row r="22" spans="1:24" x14ac:dyDescent="0.25">
      <c r="A22">
        <v>21</v>
      </c>
      <c r="B22" t="s">
        <v>1402</v>
      </c>
      <c r="C22" t="s">
        <v>1382</v>
      </c>
      <c r="D22" t="s">
        <v>45</v>
      </c>
      <c r="E22" t="s">
        <v>41</v>
      </c>
      <c r="F22" t="s">
        <v>1383</v>
      </c>
      <c r="G22" t="s">
        <v>27</v>
      </c>
      <c r="H22" t="s">
        <v>49</v>
      </c>
      <c r="I22" t="s">
        <v>93</v>
      </c>
      <c r="J22">
        <v>181</v>
      </c>
      <c r="K22">
        <v>33</v>
      </c>
      <c r="L22">
        <v>39</v>
      </c>
      <c r="M22">
        <v>175</v>
      </c>
      <c r="N22">
        <v>30</v>
      </c>
      <c r="O22">
        <v>300</v>
      </c>
      <c r="P22">
        <v>4132</v>
      </c>
      <c r="Q22">
        <v>5371</v>
      </c>
      <c r="R22">
        <v>723100</v>
      </c>
      <c r="S22">
        <v>11</v>
      </c>
      <c r="T22">
        <v>71</v>
      </c>
      <c r="U22" t="s">
        <v>93</v>
      </c>
      <c r="V22" t="s">
        <v>100</v>
      </c>
      <c r="W22" t="s">
        <v>42</v>
      </c>
      <c r="X22" t="s">
        <v>310</v>
      </c>
    </row>
    <row r="23" spans="1:24" x14ac:dyDescent="0.25">
      <c r="A23">
        <v>22</v>
      </c>
      <c r="B23" t="s">
        <v>1403</v>
      </c>
      <c r="C23" t="s">
        <v>1382</v>
      </c>
      <c r="D23" t="s">
        <v>45</v>
      </c>
      <c r="E23" t="s">
        <v>671</v>
      </c>
      <c r="F23" t="s">
        <v>1380</v>
      </c>
      <c r="G23" t="s">
        <v>49</v>
      </c>
      <c r="H23" t="s">
        <v>49</v>
      </c>
      <c r="I23" t="s">
        <v>94</v>
      </c>
      <c r="J23">
        <v>87</v>
      </c>
      <c r="K23">
        <v>6</v>
      </c>
      <c r="L23">
        <v>34</v>
      </c>
      <c r="M23">
        <v>59</v>
      </c>
      <c r="N23">
        <v>30</v>
      </c>
      <c r="O23">
        <v>300</v>
      </c>
      <c r="P23">
        <v>1597</v>
      </c>
      <c r="Q23">
        <v>2076</v>
      </c>
      <c r="R23">
        <v>94223</v>
      </c>
      <c r="S23">
        <v>4.4000000000000004</v>
      </c>
      <c r="T23">
        <v>30</v>
      </c>
      <c r="U23" t="s">
        <v>94</v>
      </c>
      <c r="V23" t="s">
        <v>102</v>
      </c>
      <c r="W23" t="s">
        <v>42</v>
      </c>
      <c r="X23" t="s">
        <v>310</v>
      </c>
    </row>
    <row r="24" spans="1:24" x14ac:dyDescent="0.25">
      <c r="A24">
        <v>23</v>
      </c>
      <c r="B24" t="s">
        <v>1404</v>
      </c>
      <c r="C24" t="s">
        <v>1385</v>
      </c>
      <c r="D24" t="s">
        <v>56</v>
      </c>
      <c r="E24" t="s">
        <v>770</v>
      </c>
      <c r="F24" t="s">
        <v>1383</v>
      </c>
      <c r="G24" t="s">
        <v>27</v>
      </c>
      <c r="H24" t="s">
        <v>66</v>
      </c>
      <c r="I24" t="s">
        <v>95</v>
      </c>
      <c r="J24">
        <v>75</v>
      </c>
      <c r="K24">
        <v>50</v>
      </c>
      <c r="L24">
        <v>36</v>
      </c>
      <c r="M24">
        <v>89</v>
      </c>
      <c r="N24">
        <v>30</v>
      </c>
      <c r="O24">
        <v>300</v>
      </c>
      <c r="P24">
        <v>158</v>
      </c>
      <c r="Q24">
        <v>205</v>
      </c>
      <c r="R24">
        <v>14062</v>
      </c>
      <c r="S24">
        <v>11.6</v>
      </c>
      <c r="T24">
        <v>11</v>
      </c>
      <c r="U24" t="s">
        <v>95</v>
      </c>
      <c r="V24" t="s">
        <v>104</v>
      </c>
      <c r="W24" t="s">
        <v>42</v>
      </c>
      <c r="X24" t="s">
        <v>310</v>
      </c>
    </row>
    <row r="25" spans="1:24" x14ac:dyDescent="0.25">
      <c r="A25">
        <v>24</v>
      </c>
      <c r="B25" t="s">
        <v>1405</v>
      </c>
      <c r="C25" t="s">
        <v>1385</v>
      </c>
      <c r="D25" t="s">
        <v>64</v>
      </c>
      <c r="E25" t="s">
        <v>59</v>
      </c>
      <c r="F25" t="s">
        <v>1383</v>
      </c>
      <c r="G25" t="s">
        <v>40</v>
      </c>
      <c r="H25" t="s">
        <v>66</v>
      </c>
      <c r="I25" t="s">
        <v>96</v>
      </c>
      <c r="J25">
        <v>142</v>
      </c>
      <c r="K25">
        <v>30</v>
      </c>
      <c r="L25">
        <v>17</v>
      </c>
      <c r="M25">
        <v>155</v>
      </c>
      <c r="N25">
        <v>30</v>
      </c>
      <c r="O25">
        <v>300</v>
      </c>
      <c r="P25">
        <v>4579</v>
      </c>
      <c r="Q25">
        <v>5952</v>
      </c>
      <c r="R25">
        <v>709745</v>
      </c>
      <c r="S25">
        <v>2</v>
      </c>
      <c r="T25">
        <v>17</v>
      </c>
      <c r="U25" t="s">
        <v>96</v>
      </c>
      <c r="V25" t="s">
        <v>106</v>
      </c>
      <c r="W25" t="s">
        <v>42</v>
      </c>
      <c r="X25" t="s">
        <v>310</v>
      </c>
    </row>
    <row r="26" spans="1:24" x14ac:dyDescent="0.25">
      <c r="A26">
        <v>25</v>
      </c>
      <c r="B26" t="s">
        <v>1406</v>
      </c>
      <c r="C26" t="s">
        <v>1377</v>
      </c>
      <c r="D26" t="s">
        <v>56</v>
      </c>
      <c r="E26" t="s">
        <v>657</v>
      </c>
      <c r="F26" t="s">
        <v>1383</v>
      </c>
      <c r="G26" t="s">
        <v>40</v>
      </c>
      <c r="H26" t="s">
        <v>27</v>
      </c>
      <c r="I26" t="s">
        <v>98</v>
      </c>
      <c r="J26">
        <v>168</v>
      </c>
      <c r="K26">
        <v>63</v>
      </c>
      <c r="L26">
        <v>34</v>
      </c>
      <c r="M26">
        <v>197</v>
      </c>
      <c r="N26">
        <v>30</v>
      </c>
      <c r="O26">
        <v>300</v>
      </c>
      <c r="P26">
        <v>4628</v>
      </c>
      <c r="Q26">
        <v>6016</v>
      </c>
      <c r="R26">
        <v>911716</v>
      </c>
      <c r="S26">
        <v>2</v>
      </c>
      <c r="T26">
        <v>90</v>
      </c>
      <c r="U26" t="s">
        <v>98</v>
      </c>
      <c r="V26" t="s">
        <v>108</v>
      </c>
      <c r="W26" t="s">
        <v>50</v>
      </c>
      <c r="X26" t="s">
        <v>310</v>
      </c>
    </row>
    <row r="27" spans="1:24" x14ac:dyDescent="0.25">
      <c r="A27">
        <v>26</v>
      </c>
      <c r="B27" t="s">
        <v>1407</v>
      </c>
      <c r="C27" t="s">
        <v>1385</v>
      </c>
      <c r="D27" t="s">
        <v>64</v>
      </c>
      <c r="E27" t="s">
        <v>699</v>
      </c>
      <c r="F27" t="s">
        <v>1383</v>
      </c>
      <c r="G27" t="s">
        <v>40</v>
      </c>
      <c r="H27" t="s">
        <v>49</v>
      </c>
      <c r="I27" t="s">
        <v>100</v>
      </c>
      <c r="J27">
        <v>27</v>
      </c>
      <c r="K27">
        <v>74</v>
      </c>
      <c r="L27">
        <v>45</v>
      </c>
      <c r="M27">
        <v>56</v>
      </c>
      <c r="N27">
        <v>30</v>
      </c>
      <c r="O27">
        <v>300</v>
      </c>
      <c r="P27">
        <v>560</v>
      </c>
      <c r="Q27">
        <v>728</v>
      </c>
      <c r="R27">
        <v>31360</v>
      </c>
      <c r="S27">
        <v>10</v>
      </c>
      <c r="T27">
        <v>85</v>
      </c>
      <c r="U27" t="s">
        <v>100</v>
      </c>
      <c r="V27" t="s">
        <v>110</v>
      </c>
      <c r="W27" t="s">
        <v>42</v>
      </c>
      <c r="X27" t="s">
        <v>310</v>
      </c>
    </row>
    <row r="28" spans="1:24" x14ac:dyDescent="0.25">
      <c r="A28">
        <v>27</v>
      </c>
      <c r="B28" t="s">
        <v>1408</v>
      </c>
      <c r="C28" t="s">
        <v>1385</v>
      </c>
      <c r="D28" t="s">
        <v>45</v>
      </c>
      <c r="E28" t="s">
        <v>662</v>
      </c>
      <c r="F28" t="s">
        <v>1378</v>
      </c>
      <c r="G28" t="s">
        <v>27</v>
      </c>
      <c r="H28" t="s">
        <v>27</v>
      </c>
      <c r="I28" t="s">
        <v>102</v>
      </c>
      <c r="J28">
        <v>150</v>
      </c>
      <c r="K28">
        <v>9</v>
      </c>
      <c r="L28">
        <v>53</v>
      </c>
      <c r="M28">
        <v>106</v>
      </c>
      <c r="N28">
        <v>30</v>
      </c>
      <c r="O28">
        <v>300</v>
      </c>
      <c r="P28">
        <v>3083</v>
      </c>
      <c r="Q28">
        <v>4007</v>
      </c>
      <c r="R28">
        <v>326798</v>
      </c>
      <c r="S28">
        <v>2.4</v>
      </c>
      <c r="T28">
        <v>44</v>
      </c>
      <c r="U28" t="s">
        <v>102</v>
      </c>
      <c r="V28" t="s">
        <v>111</v>
      </c>
      <c r="W28" t="s">
        <v>42</v>
      </c>
      <c r="X28" t="s">
        <v>310</v>
      </c>
    </row>
    <row r="29" spans="1:24" x14ac:dyDescent="0.25">
      <c r="A29">
        <v>28</v>
      </c>
      <c r="B29" t="s">
        <v>1409</v>
      </c>
      <c r="C29" t="s">
        <v>1382</v>
      </c>
      <c r="D29" t="s">
        <v>35</v>
      </c>
      <c r="E29" t="s">
        <v>687</v>
      </c>
      <c r="F29" t="s">
        <v>1383</v>
      </c>
      <c r="G29" t="s">
        <v>40</v>
      </c>
      <c r="H29" t="s">
        <v>49</v>
      </c>
      <c r="I29" t="s">
        <v>104</v>
      </c>
      <c r="J29">
        <v>129</v>
      </c>
      <c r="K29">
        <v>59</v>
      </c>
      <c r="L29">
        <v>16</v>
      </c>
      <c r="M29">
        <v>172</v>
      </c>
      <c r="N29">
        <v>30</v>
      </c>
      <c r="O29">
        <v>300</v>
      </c>
      <c r="P29">
        <v>4406</v>
      </c>
      <c r="Q29">
        <v>5727</v>
      </c>
      <c r="R29">
        <v>757832</v>
      </c>
      <c r="S29">
        <v>2.6</v>
      </c>
      <c r="T29">
        <v>14</v>
      </c>
      <c r="U29" t="s">
        <v>104</v>
      </c>
      <c r="V29" t="s">
        <v>113</v>
      </c>
      <c r="W29" t="s">
        <v>75</v>
      </c>
      <c r="X29" t="s">
        <v>310</v>
      </c>
    </row>
    <row r="30" spans="1:24" x14ac:dyDescent="0.25">
      <c r="A30">
        <v>29</v>
      </c>
      <c r="B30" t="s">
        <v>1410</v>
      </c>
      <c r="C30" t="s">
        <v>1382</v>
      </c>
      <c r="D30" t="s">
        <v>64</v>
      </c>
      <c r="E30" t="s">
        <v>640</v>
      </c>
      <c r="F30" t="s">
        <v>1378</v>
      </c>
      <c r="G30" t="s">
        <v>40</v>
      </c>
      <c r="H30" t="s">
        <v>66</v>
      </c>
      <c r="I30" t="s">
        <v>106</v>
      </c>
      <c r="J30">
        <v>29</v>
      </c>
      <c r="K30">
        <v>8</v>
      </c>
      <c r="L30">
        <v>23</v>
      </c>
      <c r="M30">
        <v>14</v>
      </c>
      <c r="N30">
        <v>30</v>
      </c>
      <c r="O30">
        <v>300</v>
      </c>
      <c r="P30">
        <v>2877</v>
      </c>
      <c r="Q30">
        <v>3740</v>
      </c>
      <c r="R30">
        <v>40278</v>
      </c>
      <c r="S30">
        <v>3.7</v>
      </c>
      <c r="T30">
        <v>75</v>
      </c>
      <c r="U30" t="s">
        <v>106</v>
      </c>
      <c r="V30" t="s">
        <v>114</v>
      </c>
      <c r="W30" t="s">
        <v>50</v>
      </c>
      <c r="X30" t="s">
        <v>310</v>
      </c>
    </row>
    <row r="31" spans="1:24" x14ac:dyDescent="0.25">
      <c r="A31">
        <v>30</v>
      </c>
      <c r="B31" t="s">
        <v>1411</v>
      </c>
      <c r="C31" t="s">
        <v>1382</v>
      </c>
      <c r="D31" t="s">
        <v>45</v>
      </c>
      <c r="E31" t="s">
        <v>41</v>
      </c>
      <c r="F31" t="s">
        <v>1378</v>
      </c>
      <c r="G31" t="s">
        <v>49</v>
      </c>
      <c r="H31" t="s">
        <v>27</v>
      </c>
      <c r="I31" t="s">
        <v>108</v>
      </c>
      <c r="J31">
        <v>120</v>
      </c>
      <c r="K31">
        <v>78</v>
      </c>
      <c r="L31">
        <v>5</v>
      </c>
      <c r="M31">
        <v>193</v>
      </c>
      <c r="N31">
        <v>30</v>
      </c>
      <c r="O31">
        <v>300</v>
      </c>
      <c r="P31">
        <v>2154</v>
      </c>
      <c r="Q31">
        <v>2800</v>
      </c>
      <c r="R31">
        <v>415722</v>
      </c>
      <c r="S31">
        <v>10.6</v>
      </c>
      <c r="T31">
        <v>9</v>
      </c>
      <c r="U31" t="s">
        <v>108</v>
      </c>
      <c r="V31" t="s">
        <v>116</v>
      </c>
      <c r="W31" t="s">
        <v>50</v>
      </c>
      <c r="X31" t="s">
        <v>310</v>
      </c>
    </row>
    <row r="32" spans="1:24" x14ac:dyDescent="0.25">
      <c r="A32">
        <v>31</v>
      </c>
      <c r="B32" t="s">
        <v>1412</v>
      </c>
      <c r="C32" t="s">
        <v>1382</v>
      </c>
      <c r="D32" t="s">
        <v>45</v>
      </c>
      <c r="E32" t="s">
        <v>684</v>
      </c>
      <c r="F32" t="s">
        <v>1378</v>
      </c>
      <c r="G32" t="s">
        <v>49</v>
      </c>
      <c r="H32" t="s">
        <v>66</v>
      </c>
      <c r="I32" t="s">
        <v>110</v>
      </c>
      <c r="J32">
        <v>64</v>
      </c>
      <c r="K32">
        <v>66</v>
      </c>
      <c r="L32">
        <v>6</v>
      </c>
      <c r="M32">
        <v>124</v>
      </c>
      <c r="N32">
        <v>30</v>
      </c>
      <c r="O32">
        <v>300</v>
      </c>
      <c r="P32">
        <v>752</v>
      </c>
      <c r="Q32">
        <v>977</v>
      </c>
      <c r="R32">
        <v>93248</v>
      </c>
      <c r="S32">
        <v>11.6</v>
      </c>
      <c r="T32">
        <v>78</v>
      </c>
      <c r="U32" t="s">
        <v>110</v>
      </c>
      <c r="V32" t="s">
        <v>118</v>
      </c>
      <c r="W32" t="s">
        <v>50</v>
      </c>
      <c r="X32" t="s">
        <v>310</v>
      </c>
    </row>
    <row r="33" spans="1:24" x14ac:dyDescent="0.25">
      <c r="A33">
        <v>32</v>
      </c>
      <c r="B33" t="s">
        <v>1413</v>
      </c>
      <c r="C33" t="s">
        <v>1382</v>
      </c>
      <c r="D33" t="s">
        <v>64</v>
      </c>
      <c r="E33" t="s">
        <v>677</v>
      </c>
      <c r="F33" t="s">
        <v>1383</v>
      </c>
      <c r="G33" t="s">
        <v>40</v>
      </c>
      <c r="H33" t="s">
        <v>27</v>
      </c>
      <c r="I33" t="s">
        <v>111</v>
      </c>
      <c r="J33">
        <v>55</v>
      </c>
      <c r="K33">
        <v>0</v>
      </c>
      <c r="L33">
        <v>23</v>
      </c>
      <c r="M33">
        <v>32</v>
      </c>
      <c r="N33">
        <v>30</v>
      </c>
      <c r="O33">
        <v>300</v>
      </c>
      <c r="P33">
        <v>1191</v>
      </c>
      <c r="Q33">
        <v>1548</v>
      </c>
      <c r="R33">
        <v>38112</v>
      </c>
      <c r="S33">
        <v>4</v>
      </c>
      <c r="T33">
        <v>90</v>
      </c>
      <c r="U33" t="s">
        <v>111</v>
      </c>
      <c r="V33" t="s">
        <v>120</v>
      </c>
      <c r="W33" t="s">
        <v>75</v>
      </c>
      <c r="X33" t="s">
        <v>310</v>
      </c>
    </row>
    <row r="34" spans="1:24" x14ac:dyDescent="0.25">
      <c r="A34">
        <v>33</v>
      </c>
      <c r="B34" t="s">
        <v>1414</v>
      </c>
      <c r="C34" t="s">
        <v>1385</v>
      </c>
      <c r="D34" t="s">
        <v>64</v>
      </c>
      <c r="E34" t="s">
        <v>739</v>
      </c>
      <c r="F34" t="s">
        <v>1380</v>
      </c>
      <c r="G34" t="s">
        <v>40</v>
      </c>
      <c r="H34" t="s">
        <v>66</v>
      </c>
      <c r="I34" t="s">
        <v>113</v>
      </c>
      <c r="J34">
        <v>54</v>
      </c>
      <c r="K34">
        <v>60</v>
      </c>
      <c r="L34">
        <v>46</v>
      </c>
      <c r="M34">
        <v>68</v>
      </c>
      <c r="N34">
        <v>30</v>
      </c>
      <c r="O34">
        <v>300</v>
      </c>
      <c r="P34">
        <v>1631</v>
      </c>
      <c r="Q34">
        <v>2120</v>
      </c>
      <c r="R34">
        <v>110908</v>
      </c>
      <c r="S34">
        <v>3.7</v>
      </c>
      <c r="T34">
        <v>33</v>
      </c>
      <c r="U34" t="s">
        <v>113</v>
      </c>
      <c r="V34" t="s">
        <v>122</v>
      </c>
      <c r="W34" t="s">
        <v>50</v>
      </c>
      <c r="X34" t="s">
        <v>310</v>
      </c>
    </row>
    <row r="35" spans="1:24" x14ac:dyDescent="0.25">
      <c r="A35">
        <v>34</v>
      </c>
      <c r="B35" t="s">
        <v>1415</v>
      </c>
      <c r="C35" t="s">
        <v>1385</v>
      </c>
      <c r="D35" t="s">
        <v>56</v>
      </c>
      <c r="E35" t="s">
        <v>640</v>
      </c>
      <c r="F35" t="s">
        <v>1383</v>
      </c>
      <c r="G35" t="s">
        <v>40</v>
      </c>
      <c r="H35" t="s">
        <v>27</v>
      </c>
      <c r="I35" t="s">
        <v>114</v>
      </c>
      <c r="J35">
        <v>199</v>
      </c>
      <c r="K35">
        <v>69</v>
      </c>
      <c r="L35">
        <v>49</v>
      </c>
      <c r="M35">
        <v>219</v>
      </c>
      <c r="N35">
        <v>30</v>
      </c>
      <c r="O35">
        <v>300</v>
      </c>
      <c r="P35">
        <v>849</v>
      </c>
      <c r="Q35">
        <v>1103</v>
      </c>
      <c r="R35">
        <v>185931</v>
      </c>
      <c r="S35">
        <v>6.3</v>
      </c>
      <c r="T35">
        <v>54</v>
      </c>
      <c r="U35" t="s">
        <v>114</v>
      </c>
      <c r="V35" t="s">
        <v>124</v>
      </c>
      <c r="W35" t="s">
        <v>50</v>
      </c>
      <c r="X35" t="s">
        <v>310</v>
      </c>
    </row>
    <row r="36" spans="1:24" x14ac:dyDescent="0.25">
      <c r="A36">
        <v>35</v>
      </c>
      <c r="B36" t="s">
        <v>1416</v>
      </c>
      <c r="C36" t="s">
        <v>1377</v>
      </c>
      <c r="D36" t="s">
        <v>45</v>
      </c>
      <c r="E36" t="s">
        <v>674</v>
      </c>
      <c r="F36" t="s">
        <v>1383</v>
      </c>
      <c r="G36" t="s">
        <v>40</v>
      </c>
      <c r="H36" t="s">
        <v>66</v>
      </c>
      <c r="I36" t="s">
        <v>116</v>
      </c>
      <c r="J36">
        <v>179</v>
      </c>
      <c r="K36">
        <v>19</v>
      </c>
      <c r="L36">
        <v>20</v>
      </c>
      <c r="M36">
        <v>178</v>
      </c>
      <c r="N36">
        <v>30</v>
      </c>
      <c r="O36">
        <v>300</v>
      </c>
      <c r="P36">
        <v>4910</v>
      </c>
      <c r="Q36">
        <v>6383</v>
      </c>
      <c r="R36">
        <v>873980</v>
      </c>
      <c r="S36">
        <v>8.1</v>
      </c>
      <c r="T36">
        <v>34</v>
      </c>
      <c r="U36" t="s">
        <v>116</v>
      </c>
      <c r="V36" t="s">
        <v>126</v>
      </c>
      <c r="W36" t="s">
        <v>50</v>
      </c>
      <c r="X36" t="s">
        <v>310</v>
      </c>
    </row>
    <row r="37" spans="1:24" x14ac:dyDescent="0.25">
      <c r="A37">
        <v>36</v>
      </c>
      <c r="B37" t="s">
        <v>1417</v>
      </c>
      <c r="C37" t="s">
        <v>1377</v>
      </c>
      <c r="D37" t="s">
        <v>64</v>
      </c>
      <c r="E37" t="s">
        <v>680</v>
      </c>
      <c r="F37" t="s">
        <v>1380</v>
      </c>
      <c r="G37" t="s">
        <v>40</v>
      </c>
      <c r="H37" t="s">
        <v>49</v>
      </c>
      <c r="I37" t="s">
        <v>118</v>
      </c>
      <c r="J37">
        <v>38</v>
      </c>
      <c r="K37">
        <v>7</v>
      </c>
      <c r="L37">
        <v>52</v>
      </c>
      <c r="M37">
        <v>-7</v>
      </c>
      <c r="N37">
        <v>30</v>
      </c>
      <c r="O37">
        <v>300</v>
      </c>
      <c r="P37">
        <v>283</v>
      </c>
      <c r="Q37">
        <v>367</v>
      </c>
      <c r="R37">
        <v>-1981</v>
      </c>
      <c r="S37">
        <v>12</v>
      </c>
      <c r="T37">
        <v>40</v>
      </c>
      <c r="U37" t="s">
        <v>118</v>
      </c>
      <c r="V37" t="s">
        <v>128</v>
      </c>
      <c r="W37" t="s">
        <v>50</v>
      </c>
      <c r="X37" t="s">
        <v>310</v>
      </c>
    </row>
    <row r="38" spans="1:24" x14ac:dyDescent="0.25">
      <c r="A38">
        <v>37</v>
      </c>
      <c r="B38" t="s">
        <v>1418</v>
      </c>
      <c r="C38" t="s">
        <v>1382</v>
      </c>
      <c r="D38" t="s">
        <v>35</v>
      </c>
      <c r="E38" t="s">
        <v>719</v>
      </c>
      <c r="F38" t="s">
        <v>1383</v>
      </c>
      <c r="G38" t="s">
        <v>27</v>
      </c>
      <c r="H38" t="s">
        <v>27</v>
      </c>
      <c r="I38" t="s">
        <v>120</v>
      </c>
      <c r="J38">
        <v>156</v>
      </c>
      <c r="K38">
        <v>36</v>
      </c>
      <c r="L38">
        <v>57</v>
      </c>
      <c r="M38">
        <v>135</v>
      </c>
      <c r="N38">
        <v>30</v>
      </c>
      <c r="O38">
        <v>300</v>
      </c>
      <c r="P38">
        <v>147</v>
      </c>
      <c r="Q38">
        <v>191</v>
      </c>
      <c r="R38">
        <v>19845</v>
      </c>
      <c r="S38">
        <v>2.6</v>
      </c>
      <c r="T38">
        <v>67</v>
      </c>
      <c r="U38" t="s">
        <v>120</v>
      </c>
      <c r="V38" t="s">
        <v>130</v>
      </c>
      <c r="W38" t="s">
        <v>29</v>
      </c>
      <c r="X38" t="s">
        <v>310</v>
      </c>
    </row>
    <row r="39" spans="1:24" x14ac:dyDescent="0.25">
      <c r="A39">
        <v>38</v>
      </c>
      <c r="B39" t="s">
        <v>1419</v>
      </c>
      <c r="C39" t="s">
        <v>1385</v>
      </c>
      <c r="D39" t="s">
        <v>35</v>
      </c>
      <c r="E39" t="s">
        <v>770</v>
      </c>
      <c r="F39" t="s">
        <v>1383</v>
      </c>
      <c r="G39" t="s">
        <v>40</v>
      </c>
      <c r="H39" t="s">
        <v>27</v>
      </c>
      <c r="I39" t="s">
        <v>122</v>
      </c>
      <c r="J39">
        <v>46</v>
      </c>
      <c r="K39">
        <v>78</v>
      </c>
      <c r="L39">
        <v>4</v>
      </c>
      <c r="M39">
        <v>120</v>
      </c>
      <c r="N39">
        <v>30</v>
      </c>
      <c r="O39">
        <v>300</v>
      </c>
      <c r="P39">
        <v>2148</v>
      </c>
      <c r="Q39">
        <v>2792</v>
      </c>
      <c r="R39">
        <v>257760</v>
      </c>
      <c r="S39">
        <v>6.7</v>
      </c>
      <c r="T39">
        <v>42</v>
      </c>
      <c r="U39" t="s">
        <v>122</v>
      </c>
      <c r="V39" t="s">
        <v>132</v>
      </c>
      <c r="W39" t="s">
        <v>50</v>
      </c>
      <c r="X39" t="s">
        <v>310</v>
      </c>
    </row>
    <row r="40" spans="1:24" x14ac:dyDescent="0.25">
      <c r="A40">
        <v>39</v>
      </c>
      <c r="B40" t="s">
        <v>1420</v>
      </c>
      <c r="C40" t="s">
        <v>1377</v>
      </c>
      <c r="D40" t="s">
        <v>56</v>
      </c>
      <c r="E40" t="s">
        <v>59</v>
      </c>
      <c r="F40" t="s">
        <v>1383</v>
      </c>
      <c r="G40" t="s">
        <v>49</v>
      </c>
      <c r="H40" t="s">
        <v>66</v>
      </c>
      <c r="I40" t="s">
        <v>124</v>
      </c>
      <c r="J40">
        <v>143</v>
      </c>
      <c r="K40">
        <v>0</v>
      </c>
      <c r="L40">
        <v>44</v>
      </c>
      <c r="M40">
        <v>99</v>
      </c>
      <c r="N40">
        <v>30</v>
      </c>
      <c r="O40">
        <v>300</v>
      </c>
      <c r="P40">
        <v>2291</v>
      </c>
      <c r="Q40">
        <v>2978</v>
      </c>
      <c r="R40">
        <v>226809</v>
      </c>
      <c r="S40">
        <v>3.3</v>
      </c>
      <c r="T40">
        <v>62</v>
      </c>
      <c r="U40" t="s">
        <v>124</v>
      </c>
      <c r="V40" t="s">
        <v>133</v>
      </c>
      <c r="W40" t="s">
        <v>75</v>
      </c>
      <c r="X40" t="s">
        <v>310</v>
      </c>
    </row>
    <row r="41" spans="1:24" x14ac:dyDescent="0.25">
      <c r="A41">
        <v>40</v>
      </c>
      <c r="B41" t="s">
        <v>1421</v>
      </c>
      <c r="C41" t="s">
        <v>1385</v>
      </c>
      <c r="D41" t="s">
        <v>64</v>
      </c>
      <c r="E41" t="s">
        <v>59</v>
      </c>
      <c r="F41" t="s">
        <v>1380</v>
      </c>
      <c r="G41" t="s">
        <v>27</v>
      </c>
      <c r="H41" t="s">
        <v>49</v>
      </c>
      <c r="I41" t="s">
        <v>126</v>
      </c>
      <c r="J41">
        <v>143</v>
      </c>
      <c r="K41">
        <v>80</v>
      </c>
      <c r="L41">
        <v>41</v>
      </c>
      <c r="M41">
        <v>182</v>
      </c>
      <c r="N41">
        <v>30</v>
      </c>
      <c r="O41">
        <v>300</v>
      </c>
      <c r="P41">
        <v>3419</v>
      </c>
      <c r="Q41">
        <v>4444</v>
      </c>
      <c r="R41">
        <v>622258</v>
      </c>
      <c r="S41">
        <v>2.8</v>
      </c>
      <c r="T41">
        <v>51</v>
      </c>
      <c r="U41" t="s">
        <v>126</v>
      </c>
      <c r="V41" t="s">
        <v>134</v>
      </c>
      <c r="W41" t="s">
        <v>42</v>
      </c>
      <c r="X41" t="s">
        <v>310</v>
      </c>
    </row>
    <row r="42" spans="1:24" x14ac:dyDescent="0.25">
      <c r="A42">
        <v>41</v>
      </c>
      <c r="B42" t="s">
        <v>1422</v>
      </c>
      <c r="C42" t="s">
        <v>1382</v>
      </c>
      <c r="D42" t="s">
        <v>56</v>
      </c>
      <c r="E42" t="s">
        <v>28</v>
      </c>
      <c r="F42" t="s">
        <v>1378</v>
      </c>
      <c r="G42" t="s">
        <v>49</v>
      </c>
      <c r="H42" t="s">
        <v>66</v>
      </c>
      <c r="I42" t="s">
        <v>128</v>
      </c>
      <c r="J42">
        <v>192</v>
      </c>
      <c r="K42">
        <v>70</v>
      </c>
      <c r="L42">
        <v>18</v>
      </c>
      <c r="M42">
        <v>244</v>
      </c>
      <c r="N42">
        <v>30</v>
      </c>
      <c r="O42">
        <v>300</v>
      </c>
      <c r="P42">
        <v>3024</v>
      </c>
      <c r="Q42">
        <v>3931</v>
      </c>
      <c r="R42">
        <v>737856</v>
      </c>
      <c r="S42">
        <v>6.3</v>
      </c>
      <c r="T42">
        <v>24</v>
      </c>
      <c r="U42" t="s">
        <v>128</v>
      </c>
      <c r="V42" t="s">
        <v>136</v>
      </c>
      <c r="W42" t="s">
        <v>50</v>
      </c>
      <c r="X42" t="s">
        <v>310</v>
      </c>
    </row>
    <row r="43" spans="1:24" x14ac:dyDescent="0.25">
      <c r="A43">
        <v>42</v>
      </c>
      <c r="B43" t="s">
        <v>1423</v>
      </c>
      <c r="C43" t="s">
        <v>1377</v>
      </c>
      <c r="D43" t="s">
        <v>64</v>
      </c>
      <c r="E43" t="s">
        <v>657</v>
      </c>
      <c r="F43" t="s">
        <v>1378</v>
      </c>
      <c r="G43" t="s">
        <v>40</v>
      </c>
      <c r="H43" t="s">
        <v>66</v>
      </c>
      <c r="I43" t="s">
        <v>130</v>
      </c>
      <c r="J43">
        <v>77</v>
      </c>
      <c r="K43">
        <v>63</v>
      </c>
      <c r="L43">
        <v>39</v>
      </c>
      <c r="M43">
        <v>101</v>
      </c>
      <c r="N43">
        <v>30</v>
      </c>
      <c r="O43">
        <v>300</v>
      </c>
      <c r="P43">
        <v>4260</v>
      </c>
      <c r="Q43">
        <v>5538</v>
      </c>
      <c r="R43">
        <v>430260</v>
      </c>
      <c r="S43">
        <v>7.8</v>
      </c>
      <c r="T43">
        <v>60</v>
      </c>
      <c r="U43" t="s">
        <v>130</v>
      </c>
      <c r="V43" t="s">
        <v>137</v>
      </c>
      <c r="W43" t="s">
        <v>75</v>
      </c>
      <c r="X43" t="s">
        <v>310</v>
      </c>
    </row>
    <row r="44" spans="1:24" x14ac:dyDescent="0.25">
      <c r="A44">
        <v>43</v>
      </c>
      <c r="B44" t="s">
        <v>1424</v>
      </c>
      <c r="C44" t="s">
        <v>1377</v>
      </c>
      <c r="D44" t="s">
        <v>56</v>
      </c>
      <c r="E44" t="s">
        <v>674</v>
      </c>
      <c r="F44" t="s">
        <v>1380</v>
      </c>
      <c r="G44" t="s">
        <v>40</v>
      </c>
      <c r="H44" t="s">
        <v>66</v>
      </c>
      <c r="I44" t="s">
        <v>132</v>
      </c>
      <c r="J44">
        <v>168</v>
      </c>
      <c r="K44">
        <v>29</v>
      </c>
      <c r="L44">
        <v>17</v>
      </c>
      <c r="M44">
        <v>180</v>
      </c>
      <c r="N44">
        <v>30</v>
      </c>
      <c r="O44">
        <v>300</v>
      </c>
      <c r="P44">
        <v>2336</v>
      </c>
      <c r="Q44">
        <v>3036</v>
      </c>
      <c r="R44">
        <v>420480</v>
      </c>
      <c r="S44">
        <v>6.4</v>
      </c>
      <c r="T44">
        <v>34</v>
      </c>
      <c r="U44" t="s">
        <v>132</v>
      </c>
      <c r="V44" t="s">
        <v>139</v>
      </c>
      <c r="W44" t="s">
        <v>75</v>
      </c>
      <c r="X44" t="s">
        <v>310</v>
      </c>
    </row>
    <row r="45" spans="1:24" x14ac:dyDescent="0.25">
      <c r="A45">
        <v>44</v>
      </c>
      <c r="B45" t="s">
        <v>1425</v>
      </c>
      <c r="C45" t="s">
        <v>1385</v>
      </c>
      <c r="D45" t="s">
        <v>35</v>
      </c>
      <c r="E45" t="s">
        <v>674</v>
      </c>
      <c r="F45" t="s">
        <v>1383</v>
      </c>
      <c r="G45" t="s">
        <v>49</v>
      </c>
      <c r="H45" t="s">
        <v>49</v>
      </c>
      <c r="I45" t="s">
        <v>133</v>
      </c>
      <c r="J45">
        <v>89</v>
      </c>
      <c r="K45">
        <v>52</v>
      </c>
      <c r="L45">
        <v>45</v>
      </c>
      <c r="M45">
        <v>96</v>
      </c>
      <c r="N45">
        <v>30</v>
      </c>
      <c r="O45">
        <v>300</v>
      </c>
      <c r="P45">
        <v>634</v>
      </c>
      <c r="Q45">
        <v>824</v>
      </c>
      <c r="R45">
        <v>60864</v>
      </c>
      <c r="S45">
        <v>5.5</v>
      </c>
      <c r="T45">
        <v>14</v>
      </c>
      <c r="U45" t="s">
        <v>133</v>
      </c>
      <c r="V45" t="s">
        <v>140</v>
      </c>
      <c r="W45" t="s">
        <v>29</v>
      </c>
      <c r="X45" t="s">
        <v>310</v>
      </c>
    </row>
    <row r="46" spans="1:24" x14ac:dyDescent="0.25">
      <c r="A46">
        <v>45</v>
      </c>
      <c r="B46" t="s">
        <v>1426</v>
      </c>
      <c r="C46" t="s">
        <v>1377</v>
      </c>
      <c r="D46" t="s">
        <v>45</v>
      </c>
      <c r="E46" t="s">
        <v>674</v>
      </c>
      <c r="F46" t="s">
        <v>1380</v>
      </c>
      <c r="G46" t="s">
        <v>40</v>
      </c>
      <c r="H46" t="s">
        <v>66</v>
      </c>
      <c r="I46" t="s">
        <v>134</v>
      </c>
      <c r="J46">
        <v>24</v>
      </c>
      <c r="K46">
        <v>78</v>
      </c>
      <c r="L46">
        <v>7</v>
      </c>
      <c r="M46">
        <v>95</v>
      </c>
      <c r="N46">
        <v>30</v>
      </c>
      <c r="O46">
        <v>300</v>
      </c>
      <c r="P46">
        <v>3818</v>
      </c>
      <c r="Q46">
        <v>4963</v>
      </c>
      <c r="R46">
        <v>362710</v>
      </c>
      <c r="S46">
        <v>8.9</v>
      </c>
      <c r="T46">
        <v>45</v>
      </c>
      <c r="U46" t="s">
        <v>134</v>
      </c>
      <c r="V46" t="s">
        <v>142</v>
      </c>
      <c r="W46" t="s">
        <v>42</v>
      </c>
      <c r="X46" t="s">
        <v>310</v>
      </c>
    </row>
    <row r="47" spans="1:24" x14ac:dyDescent="0.25">
      <c r="A47">
        <v>46</v>
      </c>
      <c r="B47" t="s">
        <v>1427</v>
      </c>
      <c r="C47" t="s">
        <v>1382</v>
      </c>
      <c r="D47" t="s">
        <v>35</v>
      </c>
      <c r="E47" t="s">
        <v>667</v>
      </c>
      <c r="F47" t="s">
        <v>1380</v>
      </c>
      <c r="G47" t="s">
        <v>27</v>
      </c>
      <c r="H47" t="s">
        <v>49</v>
      </c>
      <c r="I47" t="s">
        <v>136</v>
      </c>
      <c r="J47">
        <v>53</v>
      </c>
      <c r="K47">
        <v>12</v>
      </c>
      <c r="L47">
        <v>1</v>
      </c>
      <c r="M47">
        <v>64</v>
      </c>
      <c r="N47">
        <v>30</v>
      </c>
      <c r="O47">
        <v>300</v>
      </c>
      <c r="P47">
        <v>2351</v>
      </c>
      <c r="Q47">
        <v>3056</v>
      </c>
      <c r="R47">
        <v>150464</v>
      </c>
      <c r="S47">
        <v>4.5</v>
      </c>
      <c r="T47">
        <v>85</v>
      </c>
      <c r="U47" t="s">
        <v>136</v>
      </c>
      <c r="V47" t="s">
        <v>143</v>
      </c>
      <c r="W47" t="s">
        <v>29</v>
      </c>
      <c r="X47" t="s">
        <v>310</v>
      </c>
    </row>
    <row r="48" spans="1:24" x14ac:dyDescent="0.25">
      <c r="A48">
        <v>47</v>
      </c>
      <c r="B48" t="s">
        <v>1428</v>
      </c>
      <c r="C48" t="s">
        <v>1385</v>
      </c>
      <c r="D48" t="s">
        <v>56</v>
      </c>
      <c r="E48" t="s">
        <v>684</v>
      </c>
      <c r="F48" t="s">
        <v>1383</v>
      </c>
      <c r="G48" t="s">
        <v>49</v>
      </c>
      <c r="H48" t="s">
        <v>27</v>
      </c>
      <c r="I48" t="s">
        <v>137</v>
      </c>
      <c r="J48">
        <v>67</v>
      </c>
      <c r="K48">
        <v>33</v>
      </c>
      <c r="L48">
        <v>15</v>
      </c>
      <c r="M48">
        <v>85</v>
      </c>
      <c r="N48">
        <v>30</v>
      </c>
      <c r="O48">
        <v>300</v>
      </c>
      <c r="P48">
        <v>4830</v>
      </c>
      <c r="Q48">
        <v>6279</v>
      </c>
      <c r="R48">
        <v>410550</v>
      </c>
      <c r="S48">
        <v>4</v>
      </c>
      <c r="T48">
        <v>64</v>
      </c>
      <c r="U48" t="s">
        <v>137</v>
      </c>
      <c r="V48" t="s">
        <v>145</v>
      </c>
      <c r="W48" t="s">
        <v>50</v>
      </c>
      <c r="X48" t="s">
        <v>310</v>
      </c>
    </row>
    <row r="49" spans="1:24" x14ac:dyDescent="0.25">
      <c r="A49">
        <v>48</v>
      </c>
      <c r="B49" t="s">
        <v>1429</v>
      </c>
      <c r="C49" t="s">
        <v>1382</v>
      </c>
      <c r="D49" t="s">
        <v>64</v>
      </c>
      <c r="E49" t="s">
        <v>684</v>
      </c>
      <c r="F49" t="s">
        <v>1380</v>
      </c>
      <c r="G49" t="s">
        <v>40</v>
      </c>
      <c r="H49" t="s">
        <v>27</v>
      </c>
      <c r="I49" t="s">
        <v>139</v>
      </c>
      <c r="J49">
        <v>98</v>
      </c>
      <c r="K49">
        <v>58</v>
      </c>
      <c r="L49">
        <v>12</v>
      </c>
      <c r="M49">
        <v>144</v>
      </c>
      <c r="N49">
        <v>30</v>
      </c>
      <c r="O49">
        <v>300</v>
      </c>
      <c r="P49">
        <v>1700</v>
      </c>
      <c r="Q49">
        <v>2210</v>
      </c>
      <c r="R49">
        <v>244800</v>
      </c>
      <c r="S49">
        <v>9.9</v>
      </c>
      <c r="T49">
        <v>8</v>
      </c>
      <c r="U49" t="s">
        <v>139</v>
      </c>
      <c r="V49" t="s">
        <v>147</v>
      </c>
      <c r="W49" t="s">
        <v>42</v>
      </c>
      <c r="X49" t="s">
        <v>310</v>
      </c>
    </row>
    <row r="50" spans="1:24" x14ac:dyDescent="0.25">
      <c r="A50">
        <v>49</v>
      </c>
      <c r="B50" t="s">
        <v>1430</v>
      </c>
      <c r="C50" t="s">
        <v>1385</v>
      </c>
      <c r="D50" t="s">
        <v>64</v>
      </c>
      <c r="E50" t="s">
        <v>59</v>
      </c>
      <c r="F50" t="s">
        <v>1378</v>
      </c>
      <c r="G50" t="s">
        <v>27</v>
      </c>
      <c r="H50" t="s">
        <v>27</v>
      </c>
      <c r="I50" t="s">
        <v>140</v>
      </c>
      <c r="J50">
        <v>151</v>
      </c>
      <c r="K50">
        <v>72</v>
      </c>
      <c r="L50">
        <v>0</v>
      </c>
      <c r="M50">
        <v>223</v>
      </c>
      <c r="N50">
        <v>30</v>
      </c>
      <c r="O50">
        <v>300</v>
      </c>
      <c r="P50">
        <v>379</v>
      </c>
      <c r="Q50">
        <v>492</v>
      </c>
      <c r="R50">
        <v>84517</v>
      </c>
      <c r="S50">
        <v>11.5</v>
      </c>
      <c r="T50">
        <v>19</v>
      </c>
      <c r="U50" t="s">
        <v>140</v>
      </c>
      <c r="V50" t="s">
        <v>149</v>
      </c>
      <c r="W50" t="s">
        <v>29</v>
      </c>
      <c r="X50" t="s">
        <v>310</v>
      </c>
    </row>
    <row r="51" spans="1:24" x14ac:dyDescent="0.25">
      <c r="A51">
        <v>50</v>
      </c>
      <c r="B51" t="s">
        <v>1431</v>
      </c>
      <c r="C51" t="s">
        <v>1377</v>
      </c>
      <c r="D51" t="s">
        <v>56</v>
      </c>
      <c r="E51" t="s">
        <v>714</v>
      </c>
      <c r="F51" t="s">
        <v>1378</v>
      </c>
      <c r="G51" t="s">
        <v>27</v>
      </c>
      <c r="H51" t="s">
        <v>49</v>
      </c>
      <c r="I51" t="s">
        <v>142</v>
      </c>
      <c r="J51">
        <v>135</v>
      </c>
      <c r="K51">
        <v>62</v>
      </c>
      <c r="L51">
        <v>52</v>
      </c>
      <c r="M51">
        <v>145</v>
      </c>
      <c r="N51">
        <v>30</v>
      </c>
      <c r="O51">
        <v>300</v>
      </c>
      <c r="P51">
        <v>2839</v>
      </c>
      <c r="Q51">
        <v>3690</v>
      </c>
      <c r="R51">
        <v>411655</v>
      </c>
      <c r="S51">
        <v>4</v>
      </c>
      <c r="T51">
        <v>65</v>
      </c>
      <c r="U51" t="s">
        <v>142</v>
      </c>
      <c r="V51" t="s">
        <v>150</v>
      </c>
      <c r="W51" t="s">
        <v>29</v>
      </c>
      <c r="X51" t="s">
        <v>310</v>
      </c>
    </row>
    <row r="52" spans="1:24" x14ac:dyDescent="0.25">
      <c r="A52">
        <v>51</v>
      </c>
      <c r="B52" t="s">
        <v>1432</v>
      </c>
      <c r="C52" t="s">
        <v>1385</v>
      </c>
      <c r="D52" t="s">
        <v>64</v>
      </c>
      <c r="E52" t="s">
        <v>28</v>
      </c>
      <c r="F52" t="s">
        <v>1383</v>
      </c>
      <c r="G52" t="s">
        <v>27</v>
      </c>
      <c r="H52" t="s">
        <v>66</v>
      </c>
      <c r="I52" t="s">
        <v>143</v>
      </c>
      <c r="J52">
        <v>173</v>
      </c>
      <c r="K52">
        <v>23</v>
      </c>
      <c r="L52">
        <v>2</v>
      </c>
      <c r="M52">
        <v>194</v>
      </c>
      <c r="N52">
        <v>30</v>
      </c>
      <c r="O52">
        <v>300</v>
      </c>
      <c r="P52">
        <v>2758</v>
      </c>
      <c r="Q52">
        <v>3585</v>
      </c>
      <c r="R52">
        <v>535052</v>
      </c>
      <c r="S52">
        <v>4.4000000000000004</v>
      </c>
      <c r="T52">
        <v>90</v>
      </c>
      <c r="U52" t="s">
        <v>143</v>
      </c>
      <c r="V52" t="s">
        <v>152</v>
      </c>
      <c r="W52" t="s">
        <v>29</v>
      </c>
      <c r="X52" t="s">
        <v>310</v>
      </c>
    </row>
    <row r="53" spans="1:24" x14ac:dyDescent="0.25">
      <c r="A53">
        <v>52</v>
      </c>
      <c r="B53" t="s">
        <v>1433</v>
      </c>
      <c r="C53" t="s">
        <v>1377</v>
      </c>
      <c r="D53" t="s">
        <v>56</v>
      </c>
      <c r="E53" t="s">
        <v>699</v>
      </c>
      <c r="F53" t="s">
        <v>1378</v>
      </c>
      <c r="G53" t="s">
        <v>49</v>
      </c>
      <c r="H53" t="s">
        <v>49</v>
      </c>
      <c r="I53" t="s">
        <v>145</v>
      </c>
      <c r="J53">
        <v>121</v>
      </c>
      <c r="K53">
        <v>3</v>
      </c>
      <c r="L53">
        <v>46</v>
      </c>
      <c r="M53">
        <v>78</v>
      </c>
      <c r="N53">
        <v>30</v>
      </c>
      <c r="O53">
        <v>300</v>
      </c>
      <c r="P53">
        <v>4591</v>
      </c>
      <c r="Q53">
        <v>5968</v>
      </c>
      <c r="R53">
        <v>358098</v>
      </c>
      <c r="S53">
        <v>3.4</v>
      </c>
      <c r="T53">
        <v>62</v>
      </c>
      <c r="U53" t="s">
        <v>145</v>
      </c>
      <c r="V53" t="s">
        <v>154</v>
      </c>
      <c r="W53" t="s">
        <v>50</v>
      </c>
      <c r="X53" t="s">
        <v>310</v>
      </c>
    </row>
    <row r="54" spans="1:24" x14ac:dyDescent="0.25">
      <c r="A54">
        <v>53</v>
      </c>
      <c r="B54" t="s">
        <v>1434</v>
      </c>
      <c r="C54" t="s">
        <v>1385</v>
      </c>
      <c r="D54" t="s">
        <v>64</v>
      </c>
      <c r="E54" t="s">
        <v>640</v>
      </c>
      <c r="F54" t="s">
        <v>1383</v>
      </c>
      <c r="G54" t="s">
        <v>27</v>
      </c>
      <c r="H54" t="s">
        <v>66</v>
      </c>
      <c r="I54" t="s">
        <v>147</v>
      </c>
      <c r="J54">
        <v>81</v>
      </c>
      <c r="K54">
        <v>16</v>
      </c>
      <c r="L54">
        <v>24</v>
      </c>
      <c r="M54">
        <v>73</v>
      </c>
      <c r="N54">
        <v>30</v>
      </c>
      <c r="O54">
        <v>300</v>
      </c>
      <c r="P54">
        <v>2810</v>
      </c>
      <c r="Q54">
        <v>3653</v>
      </c>
      <c r="R54">
        <v>205130</v>
      </c>
      <c r="S54">
        <v>8.1</v>
      </c>
      <c r="T54">
        <v>15</v>
      </c>
      <c r="U54" t="s">
        <v>147</v>
      </c>
      <c r="V54" t="s">
        <v>156</v>
      </c>
      <c r="W54" t="s">
        <v>75</v>
      </c>
      <c r="X54" t="s">
        <v>310</v>
      </c>
    </row>
    <row r="55" spans="1:24" x14ac:dyDescent="0.25">
      <c r="A55">
        <v>54</v>
      </c>
      <c r="B55" t="s">
        <v>1435</v>
      </c>
      <c r="C55" t="s">
        <v>1377</v>
      </c>
      <c r="D55" t="s">
        <v>35</v>
      </c>
      <c r="E55" t="s">
        <v>28</v>
      </c>
      <c r="F55" t="s">
        <v>1378</v>
      </c>
      <c r="G55" t="s">
        <v>49</v>
      </c>
      <c r="H55" t="s">
        <v>66</v>
      </c>
      <c r="I55" t="s">
        <v>149</v>
      </c>
      <c r="J55">
        <v>200</v>
      </c>
      <c r="K55">
        <v>50</v>
      </c>
      <c r="L55">
        <v>20</v>
      </c>
      <c r="M55">
        <v>230</v>
      </c>
      <c r="N55">
        <v>30</v>
      </c>
      <c r="O55">
        <v>300</v>
      </c>
      <c r="P55">
        <v>1512</v>
      </c>
      <c r="Q55">
        <v>1965</v>
      </c>
      <c r="R55">
        <v>347760</v>
      </c>
      <c r="S55">
        <v>7.4</v>
      </c>
      <c r="T55">
        <v>59</v>
      </c>
      <c r="U55" t="s">
        <v>149</v>
      </c>
      <c r="V55" t="s">
        <v>157</v>
      </c>
      <c r="W55" t="s">
        <v>50</v>
      </c>
      <c r="X55" t="s">
        <v>310</v>
      </c>
    </row>
    <row r="56" spans="1:24" x14ac:dyDescent="0.25">
      <c r="A56">
        <v>55</v>
      </c>
      <c r="B56" t="s">
        <v>1436</v>
      </c>
      <c r="C56" t="s">
        <v>1382</v>
      </c>
      <c r="D56" t="s">
        <v>56</v>
      </c>
      <c r="E56" t="s">
        <v>687</v>
      </c>
      <c r="F56" t="s">
        <v>1378</v>
      </c>
      <c r="G56" t="s">
        <v>49</v>
      </c>
      <c r="H56" t="s">
        <v>49</v>
      </c>
      <c r="I56" t="s">
        <v>150</v>
      </c>
      <c r="J56">
        <v>74</v>
      </c>
      <c r="K56">
        <v>79</v>
      </c>
      <c r="L56">
        <v>34</v>
      </c>
      <c r="M56">
        <v>119</v>
      </c>
      <c r="N56">
        <v>30</v>
      </c>
      <c r="O56">
        <v>300</v>
      </c>
      <c r="P56">
        <v>4513</v>
      </c>
      <c r="Q56">
        <v>5866</v>
      </c>
      <c r="R56">
        <v>537047</v>
      </c>
      <c r="S56">
        <v>4.7</v>
      </c>
      <c r="T56">
        <v>47</v>
      </c>
      <c r="U56" t="s">
        <v>150</v>
      </c>
      <c r="V56" t="s">
        <v>159</v>
      </c>
      <c r="W56" t="s">
        <v>75</v>
      </c>
      <c r="X56" t="s">
        <v>310</v>
      </c>
    </row>
    <row r="57" spans="1:24" x14ac:dyDescent="0.25">
      <c r="A57">
        <v>56</v>
      </c>
      <c r="B57" t="s">
        <v>1437</v>
      </c>
      <c r="C57" t="s">
        <v>1377</v>
      </c>
      <c r="D57" t="s">
        <v>56</v>
      </c>
      <c r="E57" t="s">
        <v>699</v>
      </c>
      <c r="F57" t="s">
        <v>1378</v>
      </c>
      <c r="G57" t="s">
        <v>40</v>
      </c>
      <c r="H57" t="s">
        <v>49</v>
      </c>
      <c r="I57" t="s">
        <v>152</v>
      </c>
      <c r="J57">
        <v>171</v>
      </c>
      <c r="K57">
        <v>48</v>
      </c>
      <c r="L57">
        <v>4</v>
      </c>
      <c r="M57">
        <v>215</v>
      </c>
      <c r="N57">
        <v>30</v>
      </c>
      <c r="O57">
        <v>300</v>
      </c>
      <c r="P57">
        <v>3075</v>
      </c>
      <c r="Q57">
        <v>3997</v>
      </c>
      <c r="R57">
        <v>661125</v>
      </c>
      <c r="S57">
        <v>2.8</v>
      </c>
      <c r="T57">
        <v>63</v>
      </c>
      <c r="U57" t="s">
        <v>152</v>
      </c>
      <c r="V57" t="s">
        <v>160</v>
      </c>
      <c r="W57" t="s">
        <v>29</v>
      </c>
      <c r="X57" t="s">
        <v>310</v>
      </c>
    </row>
    <row r="58" spans="1:24" x14ac:dyDescent="0.25">
      <c r="A58">
        <v>57</v>
      </c>
      <c r="B58" t="s">
        <v>1438</v>
      </c>
      <c r="C58" t="s">
        <v>1382</v>
      </c>
      <c r="D58" t="s">
        <v>35</v>
      </c>
      <c r="E58" t="s">
        <v>739</v>
      </c>
      <c r="F58" t="s">
        <v>1383</v>
      </c>
      <c r="G58" t="s">
        <v>49</v>
      </c>
      <c r="H58" t="s">
        <v>66</v>
      </c>
      <c r="I58" t="s">
        <v>154</v>
      </c>
      <c r="J58">
        <v>108</v>
      </c>
      <c r="K58">
        <v>23</v>
      </c>
      <c r="L58">
        <v>9</v>
      </c>
      <c r="M58">
        <v>122</v>
      </c>
      <c r="N58">
        <v>30</v>
      </c>
      <c r="O58">
        <v>300</v>
      </c>
      <c r="P58">
        <v>4073</v>
      </c>
      <c r="Q58">
        <v>5294</v>
      </c>
      <c r="R58">
        <v>496906</v>
      </c>
      <c r="S58">
        <v>4.5</v>
      </c>
      <c r="T58">
        <v>33</v>
      </c>
      <c r="U58" t="s">
        <v>154</v>
      </c>
      <c r="V58" t="s">
        <v>162</v>
      </c>
      <c r="W58" t="s">
        <v>42</v>
      </c>
      <c r="X58" t="s">
        <v>310</v>
      </c>
    </row>
    <row r="59" spans="1:24" x14ac:dyDescent="0.25">
      <c r="A59">
        <v>58</v>
      </c>
      <c r="B59" t="s">
        <v>1439</v>
      </c>
      <c r="C59" t="s">
        <v>1382</v>
      </c>
      <c r="D59" t="s">
        <v>45</v>
      </c>
      <c r="E59" t="s">
        <v>684</v>
      </c>
      <c r="F59" t="s">
        <v>1378</v>
      </c>
      <c r="G59" t="s">
        <v>40</v>
      </c>
      <c r="H59" t="s">
        <v>27</v>
      </c>
      <c r="I59" t="s">
        <v>156</v>
      </c>
      <c r="J59">
        <v>138</v>
      </c>
      <c r="K59">
        <v>10</v>
      </c>
      <c r="L59">
        <v>11</v>
      </c>
      <c r="M59">
        <v>137</v>
      </c>
      <c r="N59">
        <v>30</v>
      </c>
      <c r="O59">
        <v>300</v>
      </c>
      <c r="P59">
        <v>2189</v>
      </c>
      <c r="Q59">
        <v>2845</v>
      </c>
      <c r="R59">
        <v>299893</v>
      </c>
      <c r="S59">
        <v>4.8</v>
      </c>
      <c r="T59">
        <v>12</v>
      </c>
      <c r="U59" t="s">
        <v>156</v>
      </c>
      <c r="V59" t="s">
        <v>164</v>
      </c>
      <c r="W59" t="s">
        <v>29</v>
      </c>
      <c r="X59" t="s">
        <v>310</v>
      </c>
    </row>
    <row r="60" spans="1:24" x14ac:dyDescent="0.25">
      <c r="A60">
        <v>59</v>
      </c>
      <c r="B60" t="s">
        <v>1440</v>
      </c>
      <c r="C60" t="s">
        <v>1385</v>
      </c>
      <c r="D60" t="s">
        <v>45</v>
      </c>
      <c r="E60" t="s">
        <v>739</v>
      </c>
      <c r="F60" t="s">
        <v>1380</v>
      </c>
      <c r="G60" t="s">
        <v>27</v>
      </c>
      <c r="H60" t="s">
        <v>49</v>
      </c>
      <c r="I60" t="s">
        <v>157</v>
      </c>
      <c r="J60">
        <v>38</v>
      </c>
      <c r="K60">
        <v>26</v>
      </c>
      <c r="L60">
        <v>60</v>
      </c>
      <c r="M60">
        <v>4</v>
      </c>
      <c r="N60">
        <v>30</v>
      </c>
      <c r="O60">
        <v>300</v>
      </c>
      <c r="P60">
        <v>4082</v>
      </c>
      <c r="Q60">
        <v>5306</v>
      </c>
      <c r="R60">
        <v>16328</v>
      </c>
      <c r="S60">
        <v>1.9</v>
      </c>
      <c r="T60">
        <v>79</v>
      </c>
      <c r="U60" t="s">
        <v>157</v>
      </c>
      <c r="V60" t="s">
        <v>165</v>
      </c>
      <c r="W60" t="s">
        <v>75</v>
      </c>
      <c r="X60" t="s">
        <v>310</v>
      </c>
    </row>
    <row r="61" spans="1:24" x14ac:dyDescent="0.25">
      <c r="A61">
        <v>60</v>
      </c>
      <c r="B61" t="s">
        <v>1441</v>
      </c>
      <c r="C61" t="s">
        <v>1377</v>
      </c>
      <c r="D61" t="s">
        <v>56</v>
      </c>
      <c r="E61" t="s">
        <v>680</v>
      </c>
      <c r="F61" t="s">
        <v>1383</v>
      </c>
      <c r="G61" t="s">
        <v>27</v>
      </c>
      <c r="H61" t="s">
        <v>66</v>
      </c>
      <c r="I61" t="s">
        <v>159</v>
      </c>
      <c r="J61">
        <v>170</v>
      </c>
      <c r="K61">
        <v>22</v>
      </c>
      <c r="L61">
        <v>14</v>
      </c>
      <c r="M61">
        <v>178</v>
      </c>
      <c r="N61">
        <v>30</v>
      </c>
      <c r="O61">
        <v>300</v>
      </c>
      <c r="P61">
        <v>1935</v>
      </c>
      <c r="Q61">
        <v>2515</v>
      </c>
      <c r="R61">
        <v>344430</v>
      </c>
      <c r="S61">
        <v>9</v>
      </c>
      <c r="T61">
        <v>65</v>
      </c>
      <c r="U61" t="s">
        <v>159</v>
      </c>
      <c r="V61" t="s">
        <v>167</v>
      </c>
      <c r="W61" t="s">
        <v>29</v>
      </c>
      <c r="X61" t="s">
        <v>310</v>
      </c>
    </row>
    <row r="62" spans="1:24" x14ac:dyDescent="0.25">
      <c r="A62">
        <v>61</v>
      </c>
      <c r="B62" t="s">
        <v>1442</v>
      </c>
      <c r="C62" t="s">
        <v>1377</v>
      </c>
      <c r="D62" t="s">
        <v>45</v>
      </c>
      <c r="E62" t="s">
        <v>775</v>
      </c>
      <c r="F62" t="s">
        <v>1380</v>
      </c>
      <c r="G62" t="s">
        <v>27</v>
      </c>
      <c r="H62" t="s">
        <v>27</v>
      </c>
      <c r="I62" t="s">
        <v>160</v>
      </c>
      <c r="J62">
        <v>45</v>
      </c>
      <c r="K62">
        <v>76</v>
      </c>
      <c r="L62">
        <v>53</v>
      </c>
      <c r="M62">
        <v>68</v>
      </c>
      <c r="N62">
        <v>30</v>
      </c>
      <c r="O62">
        <v>300</v>
      </c>
      <c r="P62">
        <v>4459</v>
      </c>
      <c r="Q62">
        <v>5796</v>
      </c>
      <c r="R62">
        <v>303212</v>
      </c>
      <c r="S62">
        <v>4.5</v>
      </c>
      <c r="T62">
        <v>82</v>
      </c>
      <c r="U62" t="s">
        <v>160</v>
      </c>
      <c r="V62" t="s">
        <v>168</v>
      </c>
      <c r="W62" t="s">
        <v>75</v>
      </c>
      <c r="X62" t="s">
        <v>310</v>
      </c>
    </row>
    <row r="63" spans="1:24" x14ac:dyDescent="0.25">
      <c r="A63">
        <v>62</v>
      </c>
      <c r="B63" t="s">
        <v>1443</v>
      </c>
      <c r="C63" t="s">
        <v>1382</v>
      </c>
      <c r="D63" t="s">
        <v>45</v>
      </c>
      <c r="E63" t="s">
        <v>640</v>
      </c>
      <c r="F63" t="s">
        <v>1378</v>
      </c>
      <c r="G63" t="s">
        <v>49</v>
      </c>
      <c r="H63" t="s">
        <v>27</v>
      </c>
      <c r="I63" t="s">
        <v>162</v>
      </c>
      <c r="J63">
        <v>52</v>
      </c>
      <c r="K63">
        <v>64</v>
      </c>
      <c r="L63">
        <v>15</v>
      </c>
      <c r="M63">
        <v>101</v>
      </c>
      <c r="N63">
        <v>30</v>
      </c>
      <c r="O63">
        <v>300</v>
      </c>
      <c r="P63">
        <v>810</v>
      </c>
      <c r="Q63">
        <v>1053</v>
      </c>
      <c r="R63">
        <v>81810</v>
      </c>
      <c r="S63">
        <v>9.5</v>
      </c>
      <c r="T63">
        <v>79</v>
      </c>
      <c r="U63" t="s">
        <v>162</v>
      </c>
      <c r="V63" t="s">
        <v>170</v>
      </c>
      <c r="W63" t="s">
        <v>29</v>
      </c>
      <c r="X63" t="s">
        <v>310</v>
      </c>
    </row>
    <row r="64" spans="1:24" x14ac:dyDescent="0.25">
      <c r="A64">
        <v>63</v>
      </c>
      <c r="B64" t="s">
        <v>1444</v>
      </c>
      <c r="C64" t="s">
        <v>1385</v>
      </c>
      <c r="D64" t="s">
        <v>45</v>
      </c>
      <c r="E64" t="s">
        <v>671</v>
      </c>
      <c r="F64" t="s">
        <v>1378</v>
      </c>
      <c r="G64" t="s">
        <v>27</v>
      </c>
      <c r="H64" t="s">
        <v>27</v>
      </c>
      <c r="I64" t="s">
        <v>164</v>
      </c>
      <c r="J64">
        <v>72</v>
      </c>
      <c r="K64">
        <v>29</v>
      </c>
      <c r="L64">
        <v>11</v>
      </c>
      <c r="M64">
        <v>90</v>
      </c>
      <c r="N64">
        <v>30</v>
      </c>
      <c r="O64">
        <v>300</v>
      </c>
      <c r="P64">
        <v>1484</v>
      </c>
      <c r="Q64">
        <v>1929</v>
      </c>
      <c r="R64">
        <v>133560</v>
      </c>
      <c r="S64">
        <v>11.5</v>
      </c>
      <c r="T64">
        <v>47</v>
      </c>
      <c r="U64" t="s">
        <v>164</v>
      </c>
      <c r="V64" t="s">
        <v>172</v>
      </c>
      <c r="W64" t="s">
        <v>42</v>
      </c>
      <c r="X64" t="s">
        <v>310</v>
      </c>
    </row>
    <row r="65" spans="1:24" x14ac:dyDescent="0.25">
      <c r="A65">
        <v>64</v>
      </c>
      <c r="B65" t="s">
        <v>1445</v>
      </c>
      <c r="C65" t="s">
        <v>1385</v>
      </c>
      <c r="D65" t="s">
        <v>64</v>
      </c>
      <c r="E65" t="s">
        <v>699</v>
      </c>
      <c r="F65" t="s">
        <v>1380</v>
      </c>
      <c r="G65" t="s">
        <v>40</v>
      </c>
      <c r="H65" t="s">
        <v>66</v>
      </c>
      <c r="I65" t="s">
        <v>165</v>
      </c>
      <c r="J65">
        <v>68</v>
      </c>
      <c r="K65">
        <v>14</v>
      </c>
      <c r="L65">
        <v>25</v>
      </c>
      <c r="M65">
        <v>57</v>
      </c>
      <c r="N65">
        <v>30</v>
      </c>
      <c r="O65">
        <v>300</v>
      </c>
      <c r="P65">
        <v>451</v>
      </c>
      <c r="Q65">
        <v>586</v>
      </c>
      <c r="R65">
        <v>25707</v>
      </c>
      <c r="S65">
        <v>4.7</v>
      </c>
      <c r="T65">
        <v>28</v>
      </c>
      <c r="U65" t="s">
        <v>165</v>
      </c>
      <c r="V65" t="s">
        <v>173</v>
      </c>
      <c r="W65" t="s">
        <v>29</v>
      </c>
      <c r="X65" t="s">
        <v>310</v>
      </c>
    </row>
    <row r="66" spans="1:24" x14ac:dyDescent="0.25">
      <c r="A66">
        <v>65</v>
      </c>
      <c r="B66" t="s">
        <v>1446</v>
      </c>
      <c r="C66" t="s">
        <v>1385</v>
      </c>
      <c r="D66" t="s">
        <v>35</v>
      </c>
      <c r="E66" t="s">
        <v>770</v>
      </c>
      <c r="F66" t="s">
        <v>1380</v>
      </c>
      <c r="G66" t="s">
        <v>49</v>
      </c>
      <c r="H66" t="s">
        <v>66</v>
      </c>
      <c r="I66" t="s">
        <v>167</v>
      </c>
      <c r="J66">
        <v>169</v>
      </c>
      <c r="K66">
        <v>78</v>
      </c>
      <c r="L66">
        <v>4</v>
      </c>
      <c r="M66">
        <v>243</v>
      </c>
      <c r="N66">
        <v>30</v>
      </c>
      <c r="O66">
        <v>300</v>
      </c>
      <c r="P66">
        <v>1498</v>
      </c>
      <c r="Q66">
        <v>1947</v>
      </c>
      <c r="R66">
        <v>364014</v>
      </c>
      <c r="S66">
        <v>11.7</v>
      </c>
      <c r="T66">
        <v>82</v>
      </c>
      <c r="U66" t="s">
        <v>167</v>
      </c>
      <c r="V66" t="s">
        <v>174</v>
      </c>
      <c r="W66" t="s">
        <v>50</v>
      </c>
      <c r="X66" t="s">
        <v>310</v>
      </c>
    </row>
    <row r="67" spans="1:24" x14ac:dyDescent="0.25">
      <c r="A67">
        <v>66</v>
      </c>
      <c r="B67" t="s">
        <v>1447</v>
      </c>
      <c r="C67" t="s">
        <v>1385</v>
      </c>
      <c r="D67" t="s">
        <v>35</v>
      </c>
      <c r="E67" t="s">
        <v>775</v>
      </c>
      <c r="F67" t="s">
        <v>1380</v>
      </c>
      <c r="G67" t="s">
        <v>49</v>
      </c>
      <c r="H67" t="s">
        <v>49</v>
      </c>
      <c r="I67" t="s">
        <v>168</v>
      </c>
      <c r="J67">
        <v>130</v>
      </c>
      <c r="K67">
        <v>78</v>
      </c>
      <c r="L67">
        <v>15</v>
      </c>
      <c r="M67">
        <v>193</v>
      </c>
      <c r="N67">
        <v>30</v>
      </c>
      <c r="O67">
        <v>300</v>
      </c>
      <c r="P67">
        <v>1296</v>
      </c>
      <c r="Q67">
        <v>1684</v>
      </c>
      <c r="R67">
        <v>250128</v>
      </c>
      <c r="S67">
        <v>8.6</v>
      </c>
      <c r="T67">
        <v>71</v>
      </c>
      <c r="U67" t="s">
        <v>168</v>
      </c>
      <c r="V67" t="s">
        <v>175</v>
      </c>
      <c r="W67" t="s">
        <v>29</v>
      </c>
      <c r="X67" t="s">
        <v>310</v>
      </c>
    </row>
    <row r="68" spans="1:24" x14ac:dyDescent="0.25">
      <c r="A68">
        <v>67</v>
      </c>
      <c r="B68" t="s">
        <v>1448</v>
      </c>
      <c r="C68" t="s">
        <v>1382</v>
      </c>
      <c r="D68" t="s">
        <v>45</v>
      </c>
      <c r="E68" t="s">
        <v>41</v>
      </c>
      <c r="F68" t="s">
        <v>1383</v>
      </c>
      <c r="G68" t="s">
        <v>49</v>
      </c>
      <c r="H68" t="s">
        <v>27</v>
      </c>
      <c r="I68" t="s">
        <v>170</v>
      </c>
      <c r="J68">
        <v>176</v>
      </c>
      <c r="K68">
        <v>50</v>
      </c>
      <c r="L68">
        <v>22</v>
      </c>
      <c r="M68">
        <v>204</v>
      </c>
      <c r="N68">
        <v>30</v>
      </c>
      <c r="O68">
        <v>300</v>
      </c>
      <c r="P68">
        <v>4119</v>
      </c>
      <c r="Q68">
        <v>5354</v>
      </c>
      <c r="R68">
        <v>840276</v>
      </c>
      <c r="S68">
        <v>9.9</v>
      </c>
      <c r="T68">
        <v>42</v>
      </c>
      <c r="U68" t="s">
        <v>170</v>
      </c>
      <c r="V68" t="s">
        <v>176</v>
      </c>
      <c r="W68" t="s">
        <v>50</v>
      </c>
      <c r="X68" t="s">
        <v>310</v>
      </c>
    </row>
    <row r="69" spans="1:24" x14ac:dyDescent="0.25">
      <c r="A69">
        <v>68</v>
      </c>
      <c r="B69" t="s">
        <v>1449</v>
      </c>
      <c r="C69" t="s">
        <v>1377</v>
      </c>
      <c r="D69" t="s">
        <v>35</v>
      </c>
      <c r="E69" t="s">
        <v>726</v>
      </c>
      <c r="F69" t="s">
        <v>1380</v>
      </c>
      <c r="G69" t="s">
        <v>27</v>
      </c>
      <c r="H69" t="s">
        <v>49</v>
      </c>
      <c r="I69" t="s">
        <v>172</v>
      </c>
      <c r="J69">
        <v>107</v>
      </c>
      <c r="K69">
        <v>43</v>
      </c>
      <c r="L69">
        <v>29</v>
      </c>
      <c r="M69">
        <v>121</v>
      </c>
      <c r="N69">
        <v>30</v>
      </c>
      <c r="O69">
        <v>300</v>
      </c>
      <c r="P69">
        <v>4427</v>
      </c>
      <c r="Q69">
        <v>5755</v>
      </c>
      <c r="R69">
        <v>535667</v>
      </c>
      <c r="S69">
        <v>6.6</v>
      </c>
      <c r="T69">
        <v>53</v>
      </c>
      <c r="U69" t="s">
        <v>172</v>
      </c>
      <c r="V69" t="s">
        <v>178</v>
      </c>
      <c r="W69" t="s">
        <v>50</v>
      </c>
      <c r="X69" t="s">
        <v>310</v>
      </c>
    </row>
    <row r="70" spans="1:24" x14ac:dyDescent="0.25">
      <c r="A70">
        <v>69</v>
      </c>
      <c r="B70" t="s">
        <v>1450</v>
      </c>
      <c r="C70" t="s">
        <v>1382</v>
      </c>
      <c r="D70" t="s">
        <v>45</v>
      </c>
      <c r="E70" t="s">
        <v>674</v>
      </c>
      <c r="F70" t="s">
        <v>1383</v>
      </c>
      <c r="G70" t="s">
        <v>49</v>
      </c>
      <c r="H70" t="s">
        <v>49</v>
      </c>
      <c r="I70" t="s">
        <v>173</v>
      </c>
      <c r="J70">
        <v>20</v>
      </c>
      <c r="K70">
        <v>36</v>
      </c>
      <c r="L70">
        <v>46</v>
      </c>
      <c r="M70">
        <v>10</v>
      </c>
      <c r="N70">
        <v>30</v>
      </c>
      <c r="O70">
        <v>300</v>
      </c>
      <c r="P70">
        <v>3693</v>
      </c>
      <c r="Q70">
        <v>4800</v>
      </c>
      <c r="R70">
        <v>36930</v>
      </c>
      <c r="S70">
        <v>6.5</v>
      </c>
      <c r="T70">
        <v>56</v>
      </c>
      <c r="U70" t="s">
        <v>173</v>
      </c>
      <c r="V70" t="s">
        <v>179</v>
      </c>
      <c r="W70" t="s">
        <v>29</v>
      </c>
      <c r="X70" t="s">
        <v>310</v>
      </c>
    </row>
    <row r="71" spans="1:24" x14ac:dyDescent="0.25">
      <c r="A71">
        <v>70</v>
      </c>
      <c r="B71" t="s">
        <v>1451</v>
      </c>
      <c r="C71" t="s">
        <v>1382</v>
      </c>
      <c r="D71" t="s">
        <v>56</v>
      </c>
      <c r="E71" t="s">
        <v>770</v>
      </c>
      <c r="F71" t="s">
        <v>1378</v>
      </c>
      <c r="G71" t="s">
        <v>49</v>
      </c>
      <c r="H71" t="s">
        <v>27</v>
      </c>
      <c r="I71" t="s">
        <v>174</v>
      </c>
      <c r="J71">
        <v>46</v>
      </c>
      <c r="K71">
        <v>48</v>
      </c>
      <c r="L71">
        <v>17</v>
      </c>
      <c r="M71">
        <v>77</v>
      </c>
      <c r="N71">
        <v>30</v>
      </c>
      <c r="O71">
        <v>300</v>
      </c>
      <c r="P71">
        <v>330</v>
      </c>
      <c r="Q71">
        <v>429</v>
      </c>
      <c r="R71">
        <v>25410</v>
      </c>
      <c r="S71">
        <v>8.4</v>
      </c>
      <c r="T71">
        <v>43</v>
      </c>
      <c r="U71" t="s">
        <v>174</v>
      </c>
      <c r="V71" t="s">
        <v>180</v>
      </c>
      <c r="W71" t="s">
        <v>75</v>
      </c>
      <c r="X71" t="s">
        <v>310</v>
      </c>
    </row>
    <row r="72" spans="1:24" x14ac:dyDescent="0.25">
      <c r="A72">
        <v>71</v>
      </c>
      <c r="B72" t="s">
        <v>1452</v>
      </c>
      <c r="C72" t="s">
        <v>1377</v>
      </c>
      <c r="D72" t="s">
        <v>35</v>
      </c>
      <c r="E72" t="s">
        <v>677</v>
      </c>
      <c r="F72" t="s">
        <v>1380</v>
      </c>
      <c r="G72" t="s">
        <v>40</v>
      </c>
      <c r="H72" t="s">
        <v>49</v>
      </c>
      <c r="I72" t="s">
        <v>175</v>
      </c>
      <c r="J72">
        <v>89</v>
      </c>
      <c r="K72">
        <v>13</v>
      </c>
      <c r="L72">
        <v>32</v>
      </c>
      <c r="M72">
        <v>70</v>
      </c>
      <c r="N72">
        <v>30</v>
      </c>
      <c r="O72">
        <v>300</v>
      </c>
      <c r="P72">
        <v>3248</v>
      </c>
      <c r="Q72">
        <v>4222</v>
      </c>
      <c r="R72">
        <v>227360</v>
      </c>
      <c r="S72">
        <v>2.7</v>
      </c>
      <c r="T72">
        <v>50</v>
      </c>
      <c r="U72" t="s">
        <v>175</v>
      </c>
      <c r="V72" t="s">
        <v>182</v>
      </c>
      <c r="W72" t="s">
        <v>75</v>
      </c>
      <c r="X72" t="s">
        <v>310</v>
      </c>
    </row>
    <row r="73" spans="1:24" x14ac:dyDescent="0.25">
      <c r="A73">
        <v>72</v>
      </c>
      <c r="B73" t="s">
        <v>1453</v>
      </c>
      <c r="C73" t="s">
        <v>1385</v>
      </c>
      <c r="D73" t="s">
        <v>64</v>
      </c>
      <c r="E73" t="s">
        <v>657</v>
      </c>
      <c r="F73" t="s">
        <v>1383</v>
      </c>
      <c r="G73" t="s">
        <v>27</v>
      </c>
      <c r="H73" t="s">
        <v>27</v>
      </c>
      <c r="I73" t="s">
        <v>176</v>
      </c>
      <c r="J73">
        <v>106</v>
      </c>
      <c r="K73">
        <v>7</v>
      </c>
      <c r="L73">
        <v>44</v>
      </c>
      <c r="M73">
        <v>69</v>
      </c>
      <c r="N73">
        <v>30</v>
      </c>
      <c r="O73">
        <v>300</v>
      </c>
      <c r="P73">
        <v>3051</v>
      </c>
      <c r="Q73">
        <v>3966</v>
      </c>
      <c r="R73">
        <v>210519</v>
      </c>
      <c r="S73">
        <v>7.1</v>
      </c>
      <c r="T73">
        <v>28</v>
      </c>
      <c r="U73" t="s">
        <v>176</v>
      </c>
      <c r="V73" t="s">
        <v>183</v>
      </c>
      <c r="W73" t="s">
        <v>42</v>
      </c>
      <c r="X73" t="s">
        <v>310</v>
      </c>
    </row>
    <row r="74" spans="1:24" x14ac:dyDescent="0.25">
      <c r="A74">
        <v>73</v>
      </c>
      <c r="B74" t="s">
        <v>1454</v>
      </c>
      <c r="C74" t="s">
        <v>1377</v>
      </c>
      <c r="D74" t="s">
        <v>56</v>
      </c>
      <c r="E74" t="s">
        <v>667</v>
      </c>
      <c r="F74" t="s">
        <v>1378</v>
      </c>
      <c r="G74" t="s">
        <v>40</v>
      </c>
      <c r="H74" t="s">
        <v>27</v>
      </c>
      <c r="I74" t="s">
        <v>178</v>
      </c>
      <c r="J74">
        <v>177</v>
      </c>
      <c r="K74">
        <v>11</v>
      </c>
      <c r="L74">
        <v>16</v>
      </c>
      <c r="M74">
        <v>172</v>
      </c>
      <c r="N74">
        <v>30</v>
      </c>
      <c r="O74">
        <v>300</v>
      </c>
      <c r="P74">
        <v>3465</v>
      </c>
      <c r="Q74">
        <v>4504</v>
      </c>
      <c r="R74">
        <v>595980</v>
      </c>
      <c r="S74">
        <v>4.5999999999999996</v>
      </c>
      <c r="T74">
        <v>10</v>
      </c>
      <c r="U74" t="s">
        <v>178</v>
      </c>
      <c r="V74" t="s">
        <v>184</v>
      </c>
      <c r="W74" t="s">
        <v>75</v>
      </c>
      <c r="X74" t="s">
        <v>310</v>
      </c>
    </row>
    <row r="75" spans="1:24" x14ac:dyDescent="0.25">
      <c r="A75">
        <v>74</v>
      </c>
      <c r="B75" t="s">
        <v>1455</v>
      </c>
      <c r="C75" t="s">
        <v>1377</v>
      </c>
      <c r="D75" t="s">
        <v>64</v>
      </c>
      <c r="E75" t="s">
        <v>677</v>
      </c>
      <c r="F75" t="s">
        <v>1378</v>
      </c>
      <c r="G75" t="s">
        <v>40</v>
      </c>
      <c r="H75" t="s">
        <v>49</v>
      </c>
      <c r="I75" t="s">
        <v>179</v>
      </c>
      <c r="J75">
        <v>105</v>
      </c>
      <c r="K75">
        <v>56</v>
      </c>
      <c r="L75">
        <v>9</v>
      </c>
      <c r="M75">
        <v>152</v>
      </c>
      <c r="N75">
        <v>30</v>
      </c>
      <c r="O75">
        <v>300</v>
      </c>
      <c r="P75">
        <v>3791</v>
      </c>
      <c r="Q75">
        <v>4928</v>
      </c>
      <c r="R75">
        <v>576232</v>
      </c>
      <c r="S75">
        <v>9.1</v>
      </c>
      <c r="T75">
        <v>26</v>
      </c>
      <c r="U75" t="s">
        <v>179</v>
      </c>
      <c r="V75" t="s">
        <v>186</v>
      </c>
      <c r="W75" t="s">
        <v>42</v>
      </c>
      <c r="X75" t="s">
        <v>310</v>
      </c>
    </row>
    <row r="76" spans="1:24" x14ac:dyDescent="0.25">
      <c r="A76">
        <v>75</v>
      </c>
      <c r="B76" t="s">
        <v>1456</v>
      </c>
      <c r="C76" t="s">
        <v>1382</v>
      </c>
      <c r="D76" t="s">
        <v>64</v>
      </c>
      <c r="E76" t="s">
        <v>59</v>
      </c>
      <c r="F76" t="s">
        <v>1378</v>
      </c>
      <c r="G76" t="s">
        <v>49</v>
      </c>
      <c r="H76" t="s">
        <v>66</v>
      </c>
      <c r="I76" t="s">
        <v>180</v>
      </c>
      <c r="J76">
        <v>160</v>
      </c>
      <c r="K76">
        <v>63</v>
      </c>
      <c r="L76">
        <v>43</v>
      </c>
      <c r="M76">
        <v>180</v>
      </c>
      <c r="N76">
        <v>30</v>
      </c>
      <c r="O76">
        <v>300</v>
      </c>
      <c r="P76">
        <v>377</v>
      </c>
      <c r="Q76">
        <v>490</v>
      </c>
      <c r="R76">
        <v>67860</v>
      </c>
      <c r="S76">
        <v>2</v>
      </c>
      <c r="T76">
        <v>33</v>
      </c>
      <c r="U76" t="s">
        <v>180</v>
      </c>
      <c r="V76" t="s">
        <v>187</v>
      </c>
      <c r="W76" t="s">
        <v>29</v>
      </c>
      <c r="X76" t="s">
        <v>310</v>
      </c>
    </row>
    <row r="77" spans="1:24" x14ac:dyDescent="0.25">
      <c r="A77">
        <v>76</v>
      </c>
      <c r="B77" t="s">
        <v>1457</v>
      </c>
      <c r="C77" t="s">
        <v>1382</v>
      </c>
      <c r="D77" t="s">
        <v>56</v>
      </c>
      <c r="E77" t="s">
        <v>677</v>
      </c>
      <c r="F77" t="s">
        <v>1378</v>
      </c>
      <c r="G77" t="s">
        <v>49</v>
      </c>
      <c r="H77" t="s">
        <v>27</v>
      </c>
      <c r="I77" t="s">
        <v>182</v>
      </c>
      <c r="J77">
        <v>33</v>
      </c>
      <c r="K77">
        <v>70</v>
      </c>
      <c r="L77">
        <v>35</v>
      </c>
      <c r="M77">
        <v>68</v>
      </c>
      <c r="N77">
        <v>30</v>
      </c>
      <c r="O77">
        <v>300</v>
      </c>
      <c r="P77">
        <v>336</v>
      </c>
      <c r="Q77">
        <v>436</v>
      </c>
      <c r="R77">
        <v>22848</v>
      </c>
      <c r="S77">
        <v>2</v>
      </c>
      <c r="T77">
        <v>5</v>
      </c>
      <c r="U77" t="s">
        <v>182</v>
      </c>
      <c r="V77" t="s">
        <v>188</v>
      </c>
      <c r="W77" t="s">
        <v>75</v>
      </c>
      <c r="X77" t="s">
        <v>310</v>
      </c>
    </row>
    <row r="78" spans="1:24" x14ac:dyDescent="0.25">
      <c r="A78">
        <v>77</v>
      </c>
      <c r="B78" t="s">
        <v>1458</v>
      </c>
      <c r="C78" t="s">
        <v>1385</v>
      </c>
      <c r="D78" t="s">
        <v>56</v>
      </c>
      <c r="E78" t="s">
        <v>674</v>
      </c>
      <c r="F78" t="s">
        <v>1378</v>
      </c>
      <c r="G78" t="s">
        <v>40</v>
      </c>
      <c r="H78" t="s">
        <v>49</v>
      </c>
      <c r="I78" t="s">
        <v>183</v>
      </c>
      <c r="J78">
        <v>21</v>
      </c>
      <c r="K78">
        <v>79</v>
      </c>
      <c r="L78">
        <v>47</v>
      </c>
      <c r="M78">
        <v>53</v>
      </c>
      <c r="N78">
        <v>30</v>
      </c>
      <c r="O78">
        <v>300</v>
      </c>
      <c r="P78">
        <v>2981</v>
      </c>
      <c r="Q78">
        <v>3875</v>
      </c>
      <c r="R78">
        <v>157993</v>
      </c>
      <c r="S78">
        <v>4.3</v>
      </c>
      <c r="T78">
        <v>65</v>
      </c>
      <c r="U78" t="s">
        <v>183</v>
      </c>
      <c r="V78" t="s">
        <v>189</v>
      </c>
      <c r="W78" t="s">
        <v>75</v>
      </c>
      <c r="X78" t="s">
        <v>310</v>
      </c>
    </row>
    <row r="79" spans="1:24" x14ac:dyDescent="0.25">
      <c r="A79">
        <v>78</v>
      </c>
      <c r="B79" t="s">
        <v>1459</v>
      </c>
      <c r="C79" t="s">
        <v>1377</v>
      </c>
      <c r="D79" t="s">
        <v>64</v>
      </c>
      <c r="E79" t="s">
        <v>775</v>
      </c>
      <c r="F79" t="s">
        <v>1378</v>
      </c>
      <c r="G79" t="s">
        <v>27</v>
      </c>
      <c r="H79" t="s">
        <v>66</v>
      </c>
      <c r="I79" t="s">
        <v>184</v>
      </c>
      <c r="J79">
        <v>187</v>
      </c>
      <c r="K79">
        <v>12</v>
      </c>
      <c r="L79">
        <v>33</v>
      </c>
      <c r="M79">
        <v>166</v>
      </c>
      <c r="N79">
        <v>30</v>
      </c>
      <c r="O79">
        <v>300</v>
      </c>
      <c r="P79">
        <v>3383</v>
      </c>
      <c r="Q79">
        <v>4397</v>
      </c>
      <c r="R79">
        <v>561578</v>
      </c>
      <c r="S79">
        <v>5</v>
      </c>
      <c r="T79">
        <v>89</v>
      </c>
      <c r="U79" t="s">
        <v>184</v>
      </c>
      <c r="V79" t="s">
        <v>191</v>
      </c>
      <c r="W79" t="s">
        <v>50</v>
      </c>
      <c r="X79" t="s">
        <v>310</v>
      </c>
    </row>
    <row r="80" spans="1:24" x14ac:dyDescent="0.25">
      <c r="A80">
        <v>79</v>
      </c>
      <c r="B80" t="s">
        <v>1460</v>
      </c>
      <c r="C80" t="s">
        <v>1385</v>
      </c>
      <c r="D80" t="s">
        <v>56</v>
      </c>
      <c r="E80" t="s">
        <v>674</v>
      </c>
      <c r="F80" t="s">
        <v>1378</v>
      </c>
      <c r="G80" t="s">
        <v>49</v>
      </c>
      <c r="H80" t="s">
        <v>66</v>
      </c>
      <c r="I80" t="s">
        <v>186</v>
      </c>
      <c r="J80">
        <v>181</v>
      </c>
      <c r="K80">
        <v>2</v>
      </c>
      <c r="L80">
        <v>47</v>
      </c>
      <c r="M80">
        <v>136</v>
      </c>
      <c r="N80">
        <v>30</v>
      </c>
      <c r="O80">
        <v>300</v>
      </c>
      <c r="P80">
        <v>4457</v>
      </c>
      <c r="Q80">
        <v>5794</v>
      </c>
      <c r="R80">
        <v>606152</v>
      </c>
      <c r="S80">
        <v>6.2</v>
      </c>
      <c r="T80">
        <v>47</v>
      </c>
      <c r="U80" t="s">
        <v>186</v>
      </c>
      <c r="V80" t="s">
        <v>193</v>
      </c>
      <c r="W80" t="s">
        <v>29</v>
      </c>
      <c r="X80" t="s">
        <v>310</v>
      </c>
    </row>
    <row r="81" spans="1:24" x14ac:dyDescent="0.25">
      <c r="A81">
        <v>80</v>
      </c>
      <c r="B81" t="s">
        <v>1461</v>
      </c>
      <c r="C81" t="s">
        <v>1385</v>
      </c>
      <c r="D81" t="s">
        <v>35</v>
      </c>
      <c r="E81" t="s">
        <v>59</v>
      </c>
      <c r="F81" t="s">
        <v>1383</v>
      </c>
      <c r="G81" t="s">
        <v>49</v>
      </c>
      <c r="H81" t="s">
        <v>27</v>
      </c>
      <c r="I81" t="s">
        <v>187</v>
      </c>
      <c r="J81">
        <v>194</v>
      </c>
      <c r="K81">
        <v>38</v>
      </c>
      <c r="L81">
        <v>23</v>
      </c>
      <c r="M81">
        <v>209</v>
      </c>
      <c r="N81">
        <v>30</v>
      </c>
      <c r="O81">
        <v>300</v>
      </c>
      <c r="P81">
        <v>4379</v>
      </c>
      <c r="Q81">
        <v>5692</v>
      </c>
      <c r="R81">
        <v>915211</v>
      </c>
      <c r="S81">
        <v>10.6</v>
      </c>
      <c r="T81">
        <v>45</v>
      </c>
      <c r="U81" t="s">
        <v>187</v>
      </c>
      <c r="V81" t="s">
        <v>195</v>
      </c>
      <c r="W81" t="s">
        <v>42</v>
      </c>
      <c r="X81" t="s">
        <v>310</v>
      </c>
    </row>
    <row r="82" spans="1:24" x14ac:dyDescent="0.25">
      <c r="A82">
        <v>81</v>
      </c>
      <c r="B82" t="s">
        <v>1462</v>
      </c>
      <c r="C82" t="s">
        <v>1382</v>
      </c>
      <c r="D82" t="s">
        <v>35</v>
      </c>
      <c r="E82" t="s">
        <v>680</v>
      </c>
      <c r="F82" t="s">
        <v>1383</v>
      </c>
      <c r="G82" t="s">
        <v>49</v>
      </c>
      <c r="H82" t="s">
        <v>66</v>
      </c>
      <c r="I82" t="s">
        <v>188</v>
      </c>
      <c r="J82">
        <v>94</v>
      </c>
      <c r="K82">
        <v>41</v>
      </c>
      <c r="L82">
        <v>0</v>
      </c>
      <c r="M82">
        <v>135</v>
      </c>
      <c r="N82">
        <v>30</v>
      </c>
      <c r="O82">
        <v>300</v>
      </c>
      <c r="P82">
        <v>1892</v>
      </c>
      <c r="Q82">
        <v>2459</v>
      </c>
      <c r="R82">
        <v>255420</v>
      </c>
      <c r="S82">
        <v>1.3</v>
      </c>
      <c r="T82">
        <v>12</v>
      </c>
      <c r="U82" t="s">
        <v>188</v>
      </c>
      <c r="V82" t="s">
        <v>196</v>
      </c>
      <c r="W82" t="s">
        <v>42</v>
      </c>
      <c r="X82" t="s">
        <v>310</v>
      </c>
    </row>
    <row r="83" spans="1:24" x14ac:dyDescent="0.25">
      <c r="A83">
        <v>82</v>
      </c>
      <c r="B83" t="s">
        <v>1463</v>
      </c>
      <c r="C83" t="s">
        <v>1385</v>
      </c>
      <c r="D83" t="s">
        <v>45</v>
      </c>
      <c r="E83" t="s">
        <v>726</v>
      </c>
      <c r="F83" t="s">
        <v>1380</v>
      </c>
      <c r="G83" t="s">
        <v>27</v>
      </c>
      <c r="H83" t="s">
        <v>49</v>
      </c>
      <c r="I83" t="s">
        <v>189</v>
      </c>
      <c r="J83">
        <v>101</v>
      </c>
      <c r="K83">
        <v>59</v>
      </c>
      <c r="L83">
        <v>60</v>
      </c>
      <c r="M83">
        <v>100</v>
      </c>
      <c r="N83">
        <v>30</v>
      </c>
      <c r="O83">
        <v>300</v>
      </c>
      <c r="P83">
        <v>1491</v>
      </c>
      <c r="Q83">
        <v>1938</v>
      </c>
      <c r="R83">
        <v>149100</v>
      </c>
      <c r="S83">
        <v>2.8</v>
      </c>
      <c r="T83">
        <v>52</v>
      </c>
      <c r="U83" t="s">
        <v>189</v>
      </c>
      <c r="V83" t="s">
        <v>197</v>
      </c>
      <c r="W83" t="s">
        <v>29</v>
      </c>
      <c r="X83" t="s">
        <v>310</v>
      </c>
    </row>
    <row r="84" spans="1:24" x14ac:dyDescent="0.25">
      <c r="A84">
        <v>83</v>
      </c>
      <c r="B84" t="s">
        <v>1464</v>
      </c>
      <c r="C84" t="s">
        <v>1382</v>
      </c>
      <c r="D84" t="s">
        <v>56</v>
      </c>
      <c r="E84" t="s">
        <v>59</v>
      </c>
      <c r="F84" t="s">
        <v>1380</v>
      </c>
      <c r="G84" t="s">
        <v>40</v>
      </c>
      <c r="H84" t="s">
        <v>27</v>
      </c>
      <c r="I84" t="s">
        <v>191</v>
      </c>
      <c r="J84">
        <v>160</v>
      </c>
      <c r="K84">
        <v>59</v>
      </c>
      <c r="L84">
        <v>11</v>
      </c>
      <c r="M84">
        <v>208</v>
      </c>
      <c r="N84">
        <v>30</v>
      </c>
      <c r="O84">
        <v>300</v>
      </c>
      <c r="P84">
        <v>2901</v>
      </c>
      <c r="Q84">
        <v>3771</v>
      </c>
      <c r="R84">
        <v>603408</v>
      </c>
      <c r="S84">
        <v>11.9</v>
      </c>
      <c r="T84">
        <v>90</v>
      </c>
      <c r="U84" t="s">
        <v>191</v>
      </c>
      <c r="V84" t="s">
        <v>199</v>
      </c>
      <c r="W84" t="s">
        <v>42</v>
      </c>
      <c r="X84" t="s">
        <v>310</v>
      </c>
    </row>
    <row r="85" spans="1:24" x14ac:dyDescent="0.25">
      <c r="A85">
        <v>84</v>
      </c>
      <c r="B85" t="s">
        <v>1465</v>
      </c>
      <c r="C85" t="s">
        <v>1377</v>
      </c>
      <c r="D85" t="s">
        <v>56</v>
      </c>
      <c r="E85" t="s">
        <v>667</v>
      </c>
      <c r="F85" t="s">
        <v>1380</v>
      </c>
      <c r="G85" t="s">
        <v>27</v>
      </c>
      <c r="H85" t="s">
        <v>66</v>
      </c>
      <c r="I85" t="s">
        <v>193</v>
      </c>
      <c r="J85">
        <v>185</v>
      </c>
      <c r="K85">
        <v>58</v>
      </c>
      <c r="L85">
        <v>39</v>
      </c>
      <c r="M85">
        <v>204</v>
      </c>
      <c r="N85">
        <v>30</v>
      </c>
      <c r="O85">
        <v>300</v>
      </c>
      <c r="P85">
        <v>4251</v>
      </c>
      <c r="Q85">
        <v>5526</v>
      </c>
      <c r="R85">
        <v>867204</v>
      </c>
      <c r="S85">
        <v>4</v>
      </c>
      <c r="T85">
        <v>79</v>
      </c>
      <c r="U85" t="s">
        <v>193</v>
      </c>
      <c r="V85" t="s">
        <v>200</v>
      </c>
      <c r="W85" t="s">
        <v>29</v>
      </c>
      <c r="X85" t="s">
        <v>310</v>
      </c>
    </row>
    <row r="86" spans="1:24" x14ac:dyDescent="0.25">
      <c r="A86">
        <v>85</v>
      </c>
      <c r="B86" t="s">
        <v>1466</v>
      </c>
      <c r="C86" t="s">
        <v>1377</v>
      </c>
      <c r="D86" t="s">
        <v>35</v>
      </c>
      <c r="E86" t="s">
        <v>699</v>
      </c>
      <c r="F86" t="s">
        <v>1380</v>
      </c>
      <c r="G86" t="s">
        <v>40</v>
      </c>
      <c r="H86" t="s">
        <v>66</v>
      </c>
      <c r="I86" t="s">
        <v>195</v>
      </c>
      <c r="J86">
        <v>129</v>
      </c>
      <c r="K86">
        <v>28</v>
      </c>
      <c r="L86">
        <v>9</v>
      </c>
      <c r="M86">
        <v>148</v>
      </c>
      <c r="N86">
        <v>30</v>
      </c>
      <c r="O86">
        <v>300</v>
      </c>
      <c r="P86">
        <v>1132</v>
      </c>
      <c r="Q86">
        <v>1471</v>
      </c>
      <c r="R86">
        <v>167536</v>
      </c>
      <c r="S86">
        <v>2.4</v>
      </c>
      <c r="T86">
        <v>41</v>
      </c>
      <c r="U86" t="s">
        <v>195</v>
      </c>
      <c r="V86" t="s">
        <v>201</v>
      </c>
      <c r="W86" t="s">
        <v>29</v>
      </c>
      <c r="X86" t="s">
        <v>310</v>
      </c>
    </row>
    <row r="87" spans="1:24" x14ac:dyDescent="0.25">
      <c r="A87">
        <v>86</v>
      </c>
      <c r="B87" t="s">
        <v>1467</v>
      </c>
      <c r="C87" t="s">
        <v>1382</v>
      </c>
      <c r="D87" t="s">
        <v>56</v>
      </c>
      <c r="E87" t="s">
        <v>775</v>
      </c>
      <c r="F87" t="s">
        <v>1383</v>
      </c>
      <c r="G87" t="s">
        <v>40</v>
      </c>
      <c r="H87" t="s">
        <v>49</v>
      </c>
      <c r="I87" t="s">
        <v>196</v>
      </c>
      <c r="J87">
        <v>191</v>
      </c>
      <c r="K87">
        <v>45</v>
      </c>
      <c r="L87">
        <v>9</v>
      </c>
      <c r="M87">
        <v>227</v>
      </c>
      <c r="N87">
        <v>30</v>
      </c>
      <c r="O87">
        <v>300</v>
      </c>
      <c r="P87">
        <v>238</v>
      </c>
      <c r="Q87">
        <v>309</v>
      </c>
      <c r="R87">
        <v>54026</v>
      </c>
      <c r="S87">
        <v>9.1</v>
      </c>
      <c r="T87">
        <v>22</v>
      </c>
      <c r="U87" t="s">
        <v>196</v>
      </c>
      <c r="V87" t="s">
        <v>203</v>
      </c>
      <c r="W87" t="s">
        <v>75</v>
      </c>
      <c r="X87" t="s">
        <v>310</v>
      </c>
    </row>
    <row r="88" spans="1:24" x14ac:dyDescent="0.25">
      <c r="A88">
        <v>87</v>
      </c>
      <c r="B88" t="s">
        <v>1468</v>
      </c>
      <c r="C88" t="s">
        <v>1385</v>
      </c>
      <c r="D88" t="s">
        <v>56</v>
      </c>
      <c r="E88" t="s">
        <v>719</v>
      </c>
      <c r="F88" t="s">
        <v>1378</v>
      </c>
      <c r="G88" t="s">
        <v>40</v>
      </c>
      <c r="H88" t="s">
        <v>66</v>
      </c>
      <c r="I88" t="s">
        <v>197</v>
      </c>
      <c r="J88">
        <v>145</v>
      </c>
      <c r="K88">
        <v>79</v>
      </c>
      <c r="L88">
        <v>33</v>
      </c>
      <c r="M88">
        <v>191</v>
      </c>
      <c r="N88">
        <v>30</v>
      </c>
      <c r="O88">
        <v>300</v>
      </c>
      <c r="P88">
        <v>489</v>
      </c>
      <c r="Q88">
        <v>635</v>
      </c>
      <c r="R88">
        <v>93399</v>
      </c>
      <c r="S88">
        <v>11.9</v>
      </c>
      <c r="T88">
        <v>69</v>
      </c>
      <c r="U88" t="s">
        <v>197</v>
      </c>
      <c r="V88" t="s">
        <v>205</v>
      </c>
      <c r="W88" t="s">
        <v>29</v>
      </c>
      <c r="X88" t="s">
        <v>310</v>
      </c>
    </row>
    <row r="89" spans="1:24" x14ac:dyDescent="0.25">
      <c r="A89">
        <v>88</v>
      </c>
      <c r="B89" t="s">
        <v>1469</v>
      </c>
      <c r="C89" t="s">
        <v>1382</v>
      </c>
      <c r="D89" t="s">
        <v>64</v>
      </c>
      <c r="E89" t="s">
        <v>657</v>
      </c>
      <c r="F89" t="s">
        <v>1380</v>
      </c>
      <c r="G89" t="s">
        <v>40</v>
      </c>
      <c r="H89" t="s">
        <v>66</v>
      </c>
      <c r="I89" t="s">
        <v>199</v>
      </c>
      <c r="J89">
        <v>142</v>
      </c>
      <c r="K89">
        <v>66</v>
      </c>
      <c r="L89">
        <v>27</v>
      </c>
      <c r="M89">
        <v>181</v>
      </c>
      <c r="N89">
        <v>30</v>
      </c>
      <c r="O89">
        <v>300</v>
      </c>
      <c r="P89">
        <v>4355</v>
      </c>
      <c r="Q89">
        <v>5661</v>
      </c>
      <c r="R89">
        <v>788255</v>
      </c>
      <c r="S89">
        <v>2.5</v>
      </c>
      <c r="T89">
        <v>74</v>
      </c>
      <c r="U89" t="s">
        <v>199</v>
      </c>
      <c r="V89" t="s">
        <v>206</v>
      </c>
      <c r="W89" t="s">
        <v>75</v>
      </c>
      <c r="X89" t="s">
        <v>310</v>
      </c>
    </row>
    <row r="90" spans="1:24" x14ac:dyDescent="0.25">
      <c r="A90">
        <v>89</v>
      </c>
      <c r="B90" t="s">
        <v>1470</v>
      </c>
      <c r="C90" t="s">
        <v>1377</v>
      </c>
      <c r="D90" t="s">
        <v>64</v>
      </c>
      <c r="E90" t="s">
        <v>684</v>
      </c>
      <c r="F90" t="s">
        <v>1383</v>
      </c>
      <c r="G90" t="s">
        <v>40</v>
      </c>
      <c r="H90" t="s">
        <v>49</v>
      </c>
      <c r="I90" t="s">
        <v>200</v>
      </c>
      <c r="J90">
        <v>183</v>
      </c>
      <c r="K90">
        <v>71</v>
      </c>
      <c r="L90">
        <v>55</v>
      </c>
      <c r="M90">
        <v>199</v>
      </c>
      <c r="N90">
        <v>30</v>
      </c>
      <c r="O90">
        <v>300</v>
      </c>
      <c r="P90">
        <v>995</v>
      </c>
      <c r="Q90">
        <v>1293</v>
      </c>
      <c r="R90">
        <v>198005</v>
      </c>
      <c r="S90">
        <v>6.4</v>
      </c>
      <c r="T90">
        <v>90</v>
      </c>
      <c r="U90" t="s">
        <v>200</v>
      </c>
      <c r="V90" t="s">
        <v>208</v>
      </c>
      <c r="W90" t="s">
        <v>42</v>
      </c>
      <c r="X90" t="s">
        <v>310</v>
      </c>
    </row>
    <row r="91" spans="1:24" x14ac:dyDescent="0.25">
      <c r="A91">
        <v>90</v>
      </c>
      <c r="B91" t="s">
        <v>1471</v>
      </c>
      <c r="C91" t="s">
        <v>1377</v>
      </c>
      <c r="D91" t="s">
        <v>56</v>
      </c>
      <c r="E91" t="s">
        <v>28</v>
      </c>
      <c r="F91" t="s">
        <v>1380</v>
      </c>
      <c r="G91" t="s">
        <v>40</v>
      </c>
      <c r="H91" t="s">
        <v>49</v>
      </c>
      <c r="I91" t="s">
        <v>201</v>
      </c>
      <c r="J91">
        <v>97</v>
      </c>
      <c r="K91">
        <v>70</v>
      </c>
      <c r="L91">
        <v>55</v>
      </c>
      <c r="M91">
        <v>112</v>
      </c>
      <c r="N91">
        <v>30</v>
      </c>
      <c r="O91">
        <v>300</v>
      </c>
      <c r="P91">
        <v>3110</v>
      </c>
      <c r="Q91">
        <v>4043</v>
      </c>
      <c r="R91">
        <v>348320</v>
      </c>
      <c r="S91">
        <v>10.1</v>
      </c>
      <c r="T91">
        <v>44</v>
      </c>
      <c r="U91" t="s">
        <v>201</v>
      </c>
      <c r="V91" t="s">
        <v>209</v>
      </c>
      <c r="W91" t="s">
        <v>29</v>
      </c>
      <c r="X91" t="s">
        <v>310</v>
      </c>
    </row>
    <row r="92" spans="1:24" x14ac:dyDescent="0.25">
      <c r="A92">
        <v>91</v>
      </c>
      <c r="B92" t="s">
        <v>1472</v>
      </c>
      <c r="C92" t="s">
        <v>1382</v>
      </c>
      <c r="D92" t="s">
        <v>45</v>
      </c>
      <c r="E92" t="s">
        <v>662</v>
      </c>
      <c r="F92" t="s">
        <v>1378</v>
      </c>
      <c r="G92" t="s">
        <v>49</v>
      </c>
      <c r="H92" t="s">
        <v>49</v>
      </c>
      <c r="I92" t="s">
        <v>203</v>
      </c>
      <c r="J92">
        <v>58</v>
      </c>
      <c r="K92">
        <v>1</v>
      </c>
      <c r="L92">
        <v>41</v>
      </c>
      <c r="M92">
        <v>18</v>
      </c>
      <c r="N92">
        <v>30</v>
      </c>
      <c r="O92">
        <v>300</v>
      </c>
      <c r="P92">
        <v>1067</v>
      </c>
      <c r="Q92">
        <v>1387</v>
      </c>
      <c r="R92">
        <v>19206</v>
      </c>
      <c r="S92">
        <v>9.9</v>
      </c>
      <c r="T92">
        <v>39</v>
      </c>
      <c r="U92" t="s">
        <v>203</v>
      </c>
      <c r="V92" t="s">
        <v>211</v>
      </c>
      <c r="W92" t="s">
        <v>75</v>
      </c>
      <c r="X92" t="s">
        <v>310</v>
      </c>
    </row>
    <row r="93" spans="1:24" x14ac:dyDescent="0.25">
      <c r="A93">
        <v>92</v>
      </c>
      <c r="B93" t="s">
        <v>1473</v>
      </c>
      <c r="C93" t="s">
        <v>1382</v>
      </c>
      <c r="D93" t="s">
        <v>35</v>
      </c>
      <c r="E93" t="s">
        <v>28</v>
      </c>
      <c r="F93" t="s">
        <v>1380</v>
      </c>
      <c r="G93" t="s">
        <v>27</v>
      </c>
      <c r="H93" t="s">
        <v>27</v>
      </c>
      <c r="I93" t="s">
        <v>205</v>
      </c>
      <c r="J93">
        <v>180</v>
      </c>
      <c r="K93">
        <v>51</v>
      </c>
      <c r="L93">
        <v>7</v>
      </c>
      <c r="M93">
        <v>224</v>
      </c>
      <c r="N93">
        <v>30</v>
      </c>
      <c r="O93">
        <v>300</v>
      </c>
      <c r="P93">
        <v>193</v>
      </c>
      <c r="Q93">
        <v>250</v>
      </c>
      <c r="R93">
        <v>43232</v>
      </c>
      <c r="S93">
        <v>2.9</v>
      </c>
      <c r="T93">
        <v>90</v>
      </c>
      <c r="U93" t="s">
        <v>205</v>
      </c>
      <c r="V93" t="s">
        <v>212</v>
      </c>
      <c r="W93" t="s">
        <v>29</v>
      </c>
      <c r="X93" t="s">
        <v>310</v>
      </c>
    </row>
    <row r="94" spans="1:24" x14ac:dyDescent="0.25">
      <c r="A94">
        <v>93</v>
      </c>
      <c r="B94" t="s">
        <v>1474</v>
      </c>
      <c r="C94" t="s">
        <v>1377</v>
      </c>
      <c r="D94" t="s">
        <v>56</v>
      </c>
      <c r="E94" t="s">
        <v>667</v>
      </c>
      <c r="F94" t="s">
        <v>1378</v>
      </c>
      <c r="G94" t="s">
        <v>27</v>
      </c>
      <c r="H94" t="s">
        <v>27</v>
      </c>
      <c r="I94" t="s">
        <v>206</v>
      </c>
      <c r="J94">
        <v>140</v>
      </c>
      <c r="K94">
        <v>75</v>
      </c>
      <c r="L94">
        <v>47</v>
      </c>
      <c r="M94">
        <v>168</v>
      </c>
      <c r="N94">
        <v>30</v>
      </c>
      <c r="O94">
        <v>300</v>
      </c>
      <c r="P94">
        <v>3365</v>
      </c>
      <c r="Q94">
        <v>4374</v>
      </c>
      <c r="R94">
        <v>565320</v>
      </c>
      <c r="S94">
        <v>8.6</v>
      </c>
      <c r="T94">
        <v>19</v>
      </c>
      <c r="U94" t="s">
        <v>206</v>
      </c>
      <c r="V94" t="s">
        <v>214</v>
      </c>
      <c r="W94" t="s">
        <v>75</v>
      </c>
      <c r="X94" t="s">
        <v>310</v>
      </c>
    </row>
    <row r="95" spans="1:24" x14ac:dyDescent="0.25">
      <c r="A95">
        <v>94</v>
      </c>
      <c r="B95" t="s">
        <v>1475</v>
      </c>
      <c r="C95" t="s">
        <v>1382</v>
      </c>
      <c r="D95" t="s">
        <v>35</v>
      </c>
      <c r="E95" t="s">
        <v>677</v>
      </c>
      <c r="F95" t="s">
        <v>1380</v>
      </c>
      <c r="G95" t="s">
        <v>49</v>
      </c>
      <c r="H95" t="s">
        <v>27</v>
      </c>
      <c r="I95" t="s">
        <v>208</v>
      </c>
      <c r="J95">
        <v>177</v>
      </c>
      <c r="K95">
        <v>57</v>
      </c>
      <c r="L95">
        <v>32</v>
      </c>
      <c r="M95">
        <v>202</v>
      </c>
      <c r="N95">
        <v>30</v>
      </c>
      <c r="O95">
        <v>300</v>
      </c>
      <c r="P95">
        <v>4204</v>
      </c>
      <c r="Q95">
        <v>5465</v>
      </c>
      <c r="R95">
        <v>849208</v>
      </c>
      <c r="S95">
        <v>7.3</v>
      </c>
      <c r="T95">
        <v>24</v>
      </c>
      <c r="U95" t="s">
        <v>208</v>
      </c>
      <c r="V95" t="s">
        <v>215</v>
      </c>
      <c r="W95" t="s">
        <v>29</v>
      </c>
      <c r="X95" t="s">
        <v>310</v>
      </c>
    </row>
    <row r="96" spans="1:24" x14ac:dyDescent="0.25">
      <c r="A96">
        <v>95</v>
      </c>
      <c r="B96" t="s">
        <v>1476</v>
      </c>
      <c r="C96" t="s">
        <v>1385</v>
      </c>
      <c r="D96" t="s">
        <v>45</v>
      </c>
      <c r="E96" t="s">
        <v>640</v>
      </c>
      <c r="F96" t="s">
        <v>1380</v>
      </c>
      <c r="G96" t="s">
        <v>27</v>
      </c>
      <c r="H96" t="s">
        <v>49</v>
      </c>
      <c r="I96" t="s">
        <v>209</v>
      </c>
      <c r="J96">
        <v>116</v>
      </c>
      <c r="K96">
        <v>27</v>
      </c>
      <c r="L96">
        <v>55</v>
      </c>
      <c r="M96">
        <v>88</v>
      </c>
      <c r="N96">
        <v>30</v>
      </c>
      <c r="O96">
        <v>300</v>
      </c>
      <c r="P96">
        <v>1729</v>
      </c>
      <c r="Q96">
        <v>2247</v>
      </c>
      <c r="R96">
        <v>152152</v>
      </c>
      <c r="S96">
        <v>8.5</v>
      </c>
      <c r="T96">
        <v>85</v>
      </c>
      <c r="U96" t="s">
        <v>209</v>
      </c>
      <c r="V96" t="s">
        <v>217</v>
      </c>
      <c r="W96" t="s">
        <v>50</v>
      </c>
      <c r="X96" t="s">
        <v>310</v>
      </c>
    </row>
    <row r="97" spans="1:24" x14ac:dyDescent="0.25">
      <c r="A97">
        <v>96</v>
      </c>
      <c r="B97" t="s">
        <v>1477</v>
      </c>
      <c r="C97" t="s">
        <v>1382</v>
      </c>
      <c r="D97" t="s">
        <v>56</v>
      </c>
      <c r="E97" t="s">
        <v>770</v>
      </c>
      <c r="F97" t="s">
        <v>1380</v>
      </c>
      <c r="G97" t="s">
        <v>27</v>
      </c>
      <c r="H97" t="s">
        <v>49</v>
      </c>
      <c r="I97" t="s">
        <v>211</v>
      </c>
      <c r="J97">
        <v>41</v>
      </c>
      <c r="K97">
        <v>49</v>
      </c>
      <c r="L97">
        <v>53</v>
      </c>
      <c r="M97">
        <v>37</v>
      </c>
      <c r="N97">
        <v>30</v>
      </c>
      <c r="O97">
        <v>300</v>
      </c>
      <c r="P97">
        <v>3518</v>
      </c>
      <c r="Q97">
        <v>4573</v>
      </c>
      <c r="R97">
        <v>130166</v>
      </c>
      <c r="S97">
        <v>5.5</v>
      </c>
      <c r="T97">
        <v>70</v>
      </c>
      <c r="U97" t="s">
        <v>211</v>
      </c>
      <c r="V97" t="s">
        <v>218</v>
      </c>
      <c r="W97" t="s">
        <v>29</v>
      </c>
      <c r="X97" t="s">
        <v>310</v>
      </c>
    </row>
    <row r="98" spans="1:24" x14ac:dyDescent="0.25">
      <c r="A98">
        <v>97</v>
      </c>
      <c r="B98" t="s">
        <v>1478</v>
      </c>
      <c r="C98" t="s">
        <v>1382</v>
      </c>
      <c r="D98" t="s">
        <v>56</v>
      </c>
      <c r="E98" t="s">
        <v>719</v>
      </c>
      <c r="F98" t="s">
        <v>1380</v>
      </c>
      <c r="G98" t="s">
        <v>49</v>
      </c>
      <c r="H98" t="s">
        <v>27</v>
      </c>
      <c r="I98" t="s">
        <v>212</v>
      </c>
      <c r="J98">
        <v>179</v>
      </c>
      <c r="K98">
        <v>77</v>
      </c>
      <c r="L98">
        <v>31</v>
      </c>
      <c r="M98">
        <v>225</v>
      </c>
      <c r="N98">
        <v>30</v>
      </c>
      <c r="O98">
        <v>300</v>
      </c>
      <c r="P98">
        <v>4406</v>
      </c>
      <c r="Q98">
        <v>5727</v>
      </c>
      <c r="R98">
        <v>991350</v>
      </c>
      <c r="S98">
        <v>4.9000000000000004</v>
      </c>
      <c r="T98">
        <v>42</v>
      </c>
      <c r="U98" t="s">
        <v>212</v>
      </c>
      <c r="V98" t="s">
        <v>219</v>
      </c>
      <c r="W98" t="s">
        <v>75</v>
      </c>
      <c r="X98" t="s">
        <v>310</v>
      </c>
    </row>
    <row r="99" spans="1:24" x14ac:dyDescent="0.25">
      <c r="A99">
        <v>98</v>
      </c>
      <c r="B99" t="s">
        <v>1479</v>
      </c>
      <c r="C99" t="s">
        <v>1377</v>
      </c>
      <c r="D99" t="s">
        <v>35</v>
      </c>
      <c r="E99" t="s">
        <v>59</v>
      </c>
      <c r="F99" t="s">
        <v>1383</v>
      </c>
      <c r="G99" t="s">
        <v>49</v>
      </c>
      <c r="H99" t="s">
        <v>49</v>
      </c>
      <c r="I99" t="s">
        <v>214</v>
      </c>
      <c r="J99">
        <v>138</v>
      </c>
      <c r="K99">
        <v>2</v>
      </c>
      <c r="L99">
        <v>28</v>
      </c>
      <c r="M99">
        <v>112</v>
      </c>
      <c r="N99">
        <v>30</v>
      </c>
      <c r="O99">
        <v>300</v>
      </c>
      <c r="P99">
        <v>2072</v>
      </c>
      <c r="Q99">
        <v>2693</v>
      </c>
      <c r="R99">
        <v>232064</v>
      </c>
      <c r="S99">
        <v>11.5</v>
      </c>
      <c r="T99">
        <v>21</v>
      </c>
      <c r="U99" t="s">
        <v>214</v>
      </c>
      <c r="V99" t="s">
        <v>220</v>
      </c>
      <c r="W99" t="s">
        <v>75</v>
      </c>
      <c r="X99" t="s">
        <v>310</v>
      </c>
    </row>
    <row r="100" spans="1:24" x14ac:dyDescent="0.25">
      <c r="A100">
        <v>99</v>
      </c>
      <c r="B100" t="s">
        <v>1480</v>
      </c>
      <c r="C100" t="s">
        <v>1382</v>
      </c>
      <c r="D100" t="s">
        <v>64</v>
      </c>
      <c r="E100" t="s">
        <v>662</v>
      </c>
      <c r="F100" t="s">
        <v>1380</v>
      </c>
      <c r="G100" t="s">
        <v>49</v>
      </c>
      <c r="H100" t="s">
        <v>27</v>
      </c>
      <c r="I100" t="s">
        <v>215</v>
      </c>
      <c r="J100">
        <v>182</v>
      </c>
      <c r="K100">
        <v>30</v>
      </c>
      <c r="L100">
        <v>49</v>
      </c>
      <c r="M100">
        <v>163</v>
      </c>
      <c r="N100">
        <v>30</v>
      </c>
      <c r="O100">
        <v>300</v>
      </c>
      <c r="P100">
        <v>4288</v>
      </c>
      <c r="Q100">
        <v>5574</v>
      </c>
      <c r="R100">
        <v>698944</v>
      </c>
      <c r="S100">
        <v>5.7</v>
      </c>
      <c r="T100">
        <v>47</v>
      </c>
      <c r="U100" t="s">
        <v>215</v>
      </c>
      <c r="V100" t="s">
        <v>222</v>
      </c>
      <c r="W100" t="s">
        <v>29</v>
      </c>
      <c r="X100" t="s">
        <v>310</v>
      </c>
    </row>
    <row r="101" spans="1:24" x14ac:dyDescent="0.25">
      <c r="A101">
        <v>100</v>
      </c>
      <c r="B101" t="s">
        <v>1481</v>
      </c>
      <c r="C101" t="s">
        <v>1382</v>
      </c>
      <c r="D101" t="s">
        <v>45</v>
      </c>
      <c r="E101" t="s">
        <v>699</v>
      </c>
      <c r="F101" t="s">
        <v>1383</v>
      </c>
      <c r="G101" t="s">
        <v>49</v>
      </c>
      <c r="H101" t="s">
        <v>49</v>
      </c>
      <c r="I101" t="s">
        <v>217</v>
      </c>
      <c r="J101">
        <v>175</v>
      </c>
      <c r="K101">
        <v>68</v>
      </c>
      <c r="L101">
        <v>53</v>
      </c>
      <c r="M101">
        <v>190</v>
      </c>
      <c r="N101">
        <v>30</v>
      </c>
      <c r="O101">
        <v>300</v>
      </c>
      <c r="P101">
        <v>2411</v>
      </c>
      <c r="Q101">
        <v>3134</v>
      </c>
      <c r="R101">
        <v>458090</v>
      </c>
      <c r="S101">
        <v>3.5</v>
      </c>
      <c r="T101">
        <v>65</v>
      </c>
      <c r="U101" t="s">
        <v>217</v>
      </c>
      <c r="V101" t="s">
        <v>223</v>
      </c>
      <c r="W101" t="s">
        <v>42</v>
      </c>
      <c r="X101" t="s">
        <v>310</v>
      </c>
    </row>
    <row r="102" spans="1:24" x14ac:dyDescent="0.25">
      <c r="A102">
        <v>101</v>
      </c>
      <c r="B102" t="s">
        <v>1482</v>
      </c>
      <c r="C102" t="s">
        <v>1382</v>
      </c>
      <c r="D102" t="s">
        <v>64</v>
      </c>
      <c r="E102" t="s">
        <v>699</v>
      </c>
      <c r="F102" t="s">
        <v>1378</v>
      </c>
      <c r="G102" t="s">
        <v>40</v>
      </c>
      <c r="H102" t="s">
        <v>66</v>
      </c>
      <c r="I102" t="s">
        <v>218</v>
      </c>
      <c r="J102">
        <v>99</v>
      </c>
      <c r="K102">
        <v>37</v>
      </c>
      <c r="L102">
        <v>36</v>
      </c>
      <c r="M102">
        <v>100</v>
      </c>
      <c r="N102">
        <v>30</v>
      </c>
      <c r="O102">
        <v>300</v>
      </c>
      <c r="P102">
        <v>1931</v>
      </c>
      <c r="Q102">
        <v>2510</v>
      </c>
      <c r="R102">
        <v>193100</v>
      </c>
      <c r="S102">
        <v>6.3</v>
      </c>
      <c r="T102">
        <v>58</v>
      </c>
      <c r="U102" t="s">
        <v>218</v>
      </c>
      <c r="V102" t="s">
        <v>225</v>
      </c>
      <c r="W102" t="s">
        <v>75</v>
      </c>
      <c r="X102" t="s">
        <v>310</v>
      </c>
    </row>
    <row r="103" spans="1:24" x14ac:dyDescent="0.25">
      <c r="A103">
        <v>102</v>
      </c>
      <c r="B103" t="s">
        <v>1483</v>
      </c>
      <c r="C103" t="s">
        <v>1382</v>
      </c>
      <c r="D103" t="s">
        <v>64</v>
      </c>
      <c r="E103" t="s">
        <v>671</v>
      </c>
      <c r="F103" t="s">
        <v>1383</v>
      </c>
      <c r="G103" t="s">
        <v>49</v>
      </c>
      <c r="H103" t="s">
        <v>66</v>
      </c>
      <c r="I103" t="s">
        <v>219</v>
      </c>
      <c r="J103">
        <v>118</v>
      </c>
      <c r="K103">
        <v>17</v>
      </c>
      <c r="L103">
        <v>48</v>
      </c>
      <c r="M103">
        <v>87</v>
      </c>
      <c r="N103">
        <v>30</v>
      </c>
      <c r="O103">
        <v>300</v>
      </c>
      <c r="P103">
        <v>3702</v>
      </c>
      <c r="Q103">
        <v>4812</v>
      </c>
      <c r="R103">
        <v>322074</v>
      </c>
      <c r="S103">
        <v>9.1</v>
      </c>
      <c r="T103">
        <v>66</v>
      </c>
      <c r="U103" t="s">
        <v>219</v>
      </c>
      <c r="V103" t="s">
        <v>226</v>
      </c>
      <c r="W103" t="s">
        <v>75</v>
      </c>
      <c r="X103" t="s">
        <v>310</v>
      </c>
    </row>
    <row r="104" spans="1:24" x14ac:dyDescent="0.25">
      <c r="A104">
        <v>103</v>
      </c>
      <c r="B104" t="s">
        <v>1484</v>
      </c>
      <c r="C104" t="s">
        <v>1385</v>
      </c>
      <c r="D104" t="s">
        <v>56</v>
      </c>
      <c r="E104" t="s">
        <v>687</v>
      </c>
      <c r="F104" t="s">
        <v>1383</v>
      </c>
      <c r="G104" t="s">
        <v>27</v>
      </c>
      <c r="H104" t="s">
        <v>66</v>
      </c>
      <c r="I104" t="s">
        <v>220</v>
      </c>
      <c r="J104">
        <v>113</v>
      </c>
      <c r="K104">
        <v>47</v>
      </c>
      <c r="L104">
        <v>19</v>
      </c>
      <c r="M104">
        <v>141</v>
      </c>
      <c r="N104">
        <v>30</v>
      </c>
      <c r="O104">
        <v>300</v>
      </c>
      <c r="P104">
        <v>362</v>
      </c>
      <c r="Q104">
        <v>470</v>
      </c>
      <c r="R104">
        <v>51042</v>
      </c>
      <c r="S104">
        <v>10.9</v>
      </c>
      <c r="T104">
        <v>42</v>
      </c>
      <c r="U104" t="s">
        <v>220</v>
      </c>
      <c r="V104" t="s">
        <v>228</v>
      </c>
      <c r="W104" t="s">
        <v>75</v>
      </c>
      <c r="X104" t="s">
        <v>310</v>
      </c>
    </row>
    <row r="105" spans="1:24" x14ac:dyDescent="0.25">
      <c r="A105">
        <v>104</v>
      </c>
      <c r="B105" t="s">
        <v>1485</v>
      </c>
      <c r="C105" t="s">
        <v>1385</v>
      </c>
      <c r="D105" t="s">
        <v>45</v>
      </c>
      <c r="E105" t="s">
        <v>719</v>
      </c>
      <c r="F105" t="s">
        <v>1378</v>
      </c>
      <c r="G105" t="s">
        <v>49</v>
      </c>
      <c r="H105" t="s">
        <v>27</v>
      </c>
      <c r="I105" t="s">
        <v>222</v>
      </c>
      <c r="J105">
        <v>122</v>
      </c>
      <c r="K105">
        <v>67</v>
      </c>
      <c r="L105">
        <v>27</v>
      </c>
      <c r="M105">
        <v>162</v>
      </c>
      <c r="N105">
        <v>30</v>
      </c>
      <c r="O105">
        <v>300</v>
      </c>
      <c r="P105">
        <v>2625</v>
      </c>
      <c r="Q105">
        <v>3412</v>
      </c>
      <c r="R105">
        <v>425250</v>
      </c>
      <c r="S105">
        <v>11.9</v>
      </c>
      <c r="T105">
        <v>28</v>
      </c>
      <c r="U105" t="s">
        <v>222</v>
      </c>
      <c r="V105" t="s">
        <v>229</v>
      </c>
      <c r="W105" t="s">
        <v>75</v>
      </c>
      <c r="X105" t="s">
        <v>310</v>
      </c>
    </row>
    <row r="106" spans="1:24" x14ac:dyDescent="0.25">
      <c r="A106">
        <v>105</v>
      </c>
      <c r="B106" t="s">
        <v>1486</v>
      </c>
      <c r="C106" t="s">
        <v>1385</v>
      </c>
      <c r="D106" t="s">
        <v>56</v>
      </c>
      <c r="E106" t="s">
        <v>684</v>
      </c>
      <c r="F106" t="s">
        <v>1383</v>
      </c>
      <c r="G106" t="s">
        <v>40</v>
      </c>
      <c r="H106" t="s">
        <v>27</v>
      </c>
      <c r="I106" t="s">
        <v>223</v>
      </c>
      <c r="J106">
        <v>191</v>
      </c>
      <c r="K106">
        <v>2</v>
      </c>
      <c r="L106">
        <v>3</v>
      </c>
      <c r="M106">
        <v>190</v>
      </c>
      <c r="N106">
        <v>30</v>
      </c>
      <c r="O106">
        <v>300</v>
      </c>
      <c r="P106">
        <v>1244</v>
      </c>
      <c r="Q106">
        <v>1617</v>
      </c>
      <c r="R106">
        <v>236360</v>
      </c>
      <c r="S106">
        <v>8.5</v>
      </c>
      <c r="T106">
        <v>59</v>
      </c>
      <c r="U106" t="s">
        <v>223</v>
      </c>
      <c r="V106" t="s">
        <v>230</v>
      </c>
      <c r="W106" t="s">
        <v>42</v>
      </c>
      <c r="X106" t="s">
        <v>310</v>
      </c>
    </row>
    <row r="107" spans="1:24" x14ac:dyDescent="0.25">
      <c r="A107">
        <v>106</v>
      </c>
      <c r="B107" t="s">
        <v>1487</v>
      </c>
      <c r="C107" t="s">
        <v>1385</v>
      </c>
      <c r="D107" t="s">
        <v>64</v>
      </c>
      <c r="E107" t="s">
        <v>677</v>
      </c>
      <c r="F107" t="s">
        <v>1378</v>
      </c>
      <c r="G107" t="s">
        <v>49</v>
      </c>
      <c r="H107" t="s">
        <v>49</v>
      </c>
      <c r="I107" t="s">
        <v>225</v>
      </c>
      <c r="J107">
        <v>126</v>
      </c>
      <c r="K107">
        <v>54</v>
      </c>
      <c r="L107">
        <v>26</v>
      </c>
      <c r="M107">
        <v>154</v>
      </c>
      <c r="N107">
        <v>30</v>
      </c>
      <c r="O107">
        <v>300</v>
      </c>
      <c r="P107">
        <v>3879</v>
      </c>
      <c r="Q107">
        <v>5042</v>
      </c>
      <c r="R107">
        <v>597366</v>
      </c>
      <c r="S107">
        <v>9.8000000000000007</v>
      </c>
      <c r="T107">
        <v>54</v>
      </c>
      <c r="U107" t="s">
        <v>225</v>
      </c>
      <c r="V107" t="s">
        <v>231</v>
      </c>
      <c r="W107" t="s">
        <v>75</v>
      </c>
      <c r="X107" t="s">
        <v>310</v>
      </c>
    </row>
    <row r="108" spans="1:24" x14ac:dyDescent="0.25">
      <c r="A108">
        <v>107</v>
      </c>
      <c r="B108" t="s">
        <v>1488</v>
      </c>
      <c r="C108" t="s">
        <v>1377</v>
      </c>
      <c r="D108" t="s">
        <v>45</v>
      </c>
      <c r="E108" t="s">
        <v>41</v>
      </c>
      <c r="F108" t="s">
        <v>1383</v>
      </c>
      <c r="G108" t="s">
        <v>49</v>
      </c>
      <c r="H108" t="s">
        <v>49</v>
      </c>
      <c r="I108" t="s">
        <v>226</v>
      </c>
      <c r="J108">
        <v>141</v>
      </c>
      <c r="K108">
        <v>62</v>
      </c>
      <c r="L108">
        <v>25</v>
      </c>
      <c r="M108">
        <v>178</v>
      </c>
      <c r="N108">
        <v>30</v>
      </c>
      <c r="O108">
        <v>300</v>
      </c>
      <c r="P108">
        <v>3066</v>
      </c>
      <c r="Q108">
        <v>3985</v>
      </c>
      <c r="R108">
        <v>545748</v>
      </c>
      <c r="S108">
        <v>11.7</v>
      </c>
      <c r="T108">
        <v>69</v>
      </c>
      <c r="U108" t="s">
        <v>226</v>
      </c>
      <c r="V108" t="s">
        <v>233</v>
      </c>
      <c r="W108" t="s">
        <v>42</v>
      </c>
      <c r="X108" t="s">
        <v>310</v>
      </c>
    </row>
    <row r="109" spans="1:24" x14ac:dyDescent="0.25">
      <c r="A109">
        <v>108</v>
      </c>
      <c r="B109" t="s">
        <v>1489</v>
      </c>
      <c r="C109" t="s">
        <v>1377</v>
      </c>
      <c r="D109" t="s">
        <v>56</v>
      </c>
      <c r="E109" t="s">
        <v>674</v>
      </c>
      <c r="F109" t="s">
        <v>1378</v>
      </c>
      <c r="G109" t="s">
        <v>40</v>
      </c>
      <c r="H109" t="s">
        <v>49</v>
      </c>
      <c r="I109" t="s">
        <v>228</v>
      </c>
      <c r="J109">
        <v>42</v>
      </c>
      <c r="K109">
        <v>26</v>
      </c>
      <c r="L109">
        <v>4</v>
      </c>
      <c r="M109">
        <v>64</v>
      </c>
      <c r="N109">
        <v>30</v>
      </c>
      <c r="O109">
        <v>300</v>
      </c>
      <c r="P109">
        <v>1290</v>
      </c>
      <c r="Q109">
        <v>1677</v>
      </c>
      <c r="R109">
        <v>82560</v>
      </c>
      <c r="S109">
        <v>10.8</v>
      </c>
      <c r="T109">
        <v>19</v>
      </c>
      <c r="U109" t="s">
        <v>228</v>
      </c>
      <c r="V109" t="s">
        <v>234</v>
      </c>
      <c r="W109" t="s">
        <v>42</v>
      </c>
      <c r="X109" t="s">
        <v>310</v>
      </c>
    </row>
    <row r="110" spans="1:24" x14ac:dyDescent="0.25">
      <c r="A110">
        <v>109</v>
      </c>
      <c r="B110" t="s">
        <v>1490</v>
      </c>
      <c r="C110" t="s">
        <v>1377</v>
      </c>
      <c r="D110" t="s">
        <v>45</v>
      </c>
      <c r="E110" t="s">
        <v>775</v>
      </c>
      <c r="F110" t="s">
        <v>1378</v>
      </c>
      <c r="G110" t="s">
        <v>40</v>
      </c>
      <c r="H110" t="s">
        <v>49</v>
      </c>
      <c r="I110" t="s">
        <v>229</v>
      </c>
      <c r="J110">
        <v>73</v>
      </c>
      <c r="K110">
        <v>4</v>
      </c>
      <c r="L110">
        <v>26</v>
      </c>
      <c r="M110">
        <v>51</v>
      </c>
      <c r="N110">
        <v>30</v>
      </c>
      <c r="O110">
        <v>300</v>
      </c>
      <c r="P110">
        <v>3715</v>
      </c>
      <c r="Q110">
        <v>4829</v>
      </c>
      <c r="R110">
        <v>189465</v>
      </c>
      <c r="S110">
        <v>7.7</v>
      </c>
      <c r="T110">
        <v>53</v>
      </c>
      <c r="U110" t="s">
        <v>229</v>
      </c>
      <c r="V110" t="s">
        <v>235</v>
      </c>
      <c r="W110" t="s">
        <v>50</v>
      </c>
      <c r="X110" t="s">
        <v>310</v>
      </c>
    </row>
    <row r="111" spans="1:24" x14ac:dyDescent="0.25">
      <c r="A111">
        <v>110</v>
      </c>
      <c r="B111" t="s">
        <v>1491</v>
      </c>
      <c r="C111" t="s">
        <v>1385</v>
      </c>
      <c r="D111" t="s">
        <v>64</v>
      </c>
      <c r="E111" t="s">
        <v>726</v>
      </c>
      <c r="F111" t="s">
        <v>1383</v>
      </c>
      <c r="G111" t="s">
        <v>40</v>
      </c>
      <c r="H111" t="s">
        <v>27</v>
      </c>
      <c r="I111" t="s">
        <v>230</v>
      </c>
      <c r="J111">
        <v>22</v>
      </c>
      <c r="K111">
        <v>45</v>
      </c>
      <c r="L111">
        <v>11</v>
      </c>
      <c r="M111">
        <v>56</v>
      </c>
      <c r="N111">
        <v>30</v>
      </c>
      <c r="O111">
        <v>300</v>
      </c>
      <c r="P111">
        <v>1587</v>
      </c>
      <c r="Q111">
        <v>2063</v>
      </c>
      <c r="R111">
        <v>88872</v>
      </c>
      <c r="S111">
        <v>7.4</v>
      </c>
      <c r="T111">
        <v>38</v>
      </c>
      <c r="U111" t="s">
        <v>230</v>
      </c>
      <c r="V111" t="s">
        <v>236</v>
      </c>
      <c r="W111" t="s">
        <v>42</v>
      </c>
      <c r="X111" t="s">
        <v>310</v>
      </c>
    </row>
    <row r="112" spans="1:24" x14ac:dyDescent="0.25">
      <c r="A112">
        <v>111</v>
      </c>
      <c r="B112" t="s">
        <v>1492</v>
      </c>
      <c r="C112" t="s">
        <v>1382</v>
      </c>
      <c r="D112" t="s">
        <v>35</v>
      </c>
      <c r="E112" t="s">
        <v>671</v>
      </c>
      <c r="F112" t="s">
        <v>1378</v>
      </c>
      <c r="G112" t="s">
        <v>40</v>
      </c>
      <c r="H112" t="s">
        <v>49</v>
      </c>
      <c r="I112" t="s">
        <v>231</v>
      </c>
      <c r="J112">
        <v>79</v>
      </c>
      <c r="K112">
        <v>7</v>
      </c>
      <c r="L112">
        <v>59</v>
      </c>
      <c r="M112">
        <v>27</v>
      </c>
      <c r="N112">
        <v>30</v>
      </c>
      <c r="O112">
        <v>300</v>
      </c>
      <c r="P112">
        <v>2137</v>
      </c>
      <c r="Q112">
        <v>2778</v>
      </c>
      <c r="R112">
        <v>57699</v>
      </c>
      <c r="S112">
        <v>4.2</v>
      </c>
      <c r="T112">
        <v>37</v>
      </c>
      <c r="U112" t="s">
        <v>231</v>
      </c>
      <c r="V112" t="s">
        <v>237</v>
      </c>
      <c r="W112" t="s">
        <v>29</v>
      </c>
      <c r="X112" t="s">
        <v>310</v>
      </c>
    </row>
    <row r="113" spans="1:24" x14ac:dyDescent="0.25">
      <c r="A113">
        <v>112</v>
      </c>
      <c r="B113" t="s">
        <v>1493</v>
      </c>
      <c r="C113" t="s">
        <v>1382</v>
      </c>
      <c r="D113" t="s">
        <v>35</v>
      </c>
      <c r="E113" t="s">
        <v>671</v>
      </c>
      <c r="F113" t="s">
        <v>1378</v>
      </c>
      <c r="G113" t="s">
        <v>40</v>
      </c>
      <c r="H113" t="s">
        <v>66</v>
      </c>
      <c r="I113" t="s">
        <v>233</v>
      </c>
      <c r="J113">
        <v>78</v>
      </c>
      <c r="K113">
        <v>75</v>
      </c>
      <c r="L113">
        <v>43</v>
      </c>
      <c r="M113">
        <v>110</v>
      </c>
      <c r="N113">
        <v>30</v>
      </c>
      <c r="O113">
        <v>300</v>
      </c>
      <c r="P113">
        <v>4025</v>
      </c>
      <c r="Q113">
        <v>5232</v>
      </c>
      <c r="R113">
        <v>442750</v>
      </c>
      <c r="S113">
        <v>8.9</v>
      </c>
      <c r="T113">
        <v>46</v>
      </c>
      <c r="U113" t="s">
        <v>233</v>
      </c>
      <c r="V113" t="s">
        <v>238</v>
      </c>
      <c r="W113" t="s">
        <v>42</v>
      </c>
      <c r="X113" t="s">
        <v>310</v>
      </c>
    </row>
    <row r="114" spans="1:24" x14ac:dyDescent="0.25">
      <c r="A114">
        <v>113</v>
      </c>
      <c r="B114" t="s">
        <v>1494</v>
      </c>
      <c r="C114" t="s">
        <v>1382</v>
      </c>
      <c r="D114" t="s">
        <v>56</v>
      </c>
      <c r="E114" t="s">
        <v>719</v>
      </c>
      <c r="F114" t="s">
        <v>1383</v>
      </c>
      <c r="G114" t="s">
        <v>49</v>
      </c>
      <c r="H114" t="s">
        <v>66</v>
      </c>
      <c r="I114" t="s">
        <v>234</v>
      </c>
      <c r="J114">
        <v>95</v>
      </c>
      <c r="K114">
        <v>24</v>
      </c>
      <c r="L114">
        <v>9</v>
      </c>
      <c r="M114">
        <v>110</v>
      </c>
      <c r="N114">
        <v>30</v>
      </c>
      <c r="O114">
        <v>300</v>
      </c>
      <c r="P114">
        <v>3059</v>
      </c>
      <c r="Q114">
        <v>3976</v>
      </c>
      <c r="R114">
        <v>336490</v>
      </c>
      <c r="S114">
        <v>4</v>
      </c>
      <c r="T114">
        <v>75</v>
      </c>
      <c r="U114" t="s">
        <v>234</v>
      </c>
      <c r="V114" t="s">
        <v>239</v>
      </c>
      <c r="W114" t="s">
        <v>42</v>
      </c>
      <c r="X114" t="s">
        <v>310</v>
      </c>
    </row>
    <row r="115" spans="1:24" x14ac:dyDescent="0.25">
      <c r="A115">
        <v>114</v>
      </c>
      <c r="B115" t="s">
        <v>1495</v>
      </c>
      <c r="C115" t="s">
        <v>1382</v>
      </c>
      <c r="D115" t="s">
        <v>64</v>
      </c>
      <c r="E115" t="s">
        <v>667</v>
      </c>
      <c r="F115" t="s">
        <v>1380</v>
      </c>
      <c r="G115" t="s">
        <v>27</v>
      </c>
      <c r="H115" t="s">
        <v>27</v>
      </c>
      <c r="I115" t="s">
        <v>235</v>
      </c>
      <c r="J115">
        <v>54</v>
      </c>
      <c r="K115">
        <v>13</v>
      </c>
      <c r="L115">
        <v>39</v>
      </c>
      <c r="M115">
        <v>28</v>
      </c>
      <c r="N115">
        <v>30</v>
      </c>
      <c r="O115">
        <v>300</v>
      </c>
      <c r="P115">
        <v>2634</v>
      </c>
      <c r="Q115">
        <v>3424</v>
      </c>
      <c r="R115">
        <v>73752</v>
      </c>
      <c r="S115">
        <v>3.4</v>
      </c>
      <c r="T115">
        <v>51</v>
      </c>
      <c r="U115" t="s">
        <v>235</v>
      </c>
      <c r="V115" t="s">
        <v>240</v>
      </c>
      <c r="W115" t="s">
        <v>42</v>
      </c>
      <c r="X115" t="s">
        <v>310</v>
      </c>
    </row>
    <row r="116" spans="1:24" x14ac:dyDescent="0.25">
      <c r="A116">
        <v>115</v>
      </c>
      <c r="B116" t="s">
        <v>1496</v>
      </c>
      <c r="C116" t="s">
        <v>1377</v>
      </c>
      <c r="D116" t="s">
        <v>56</v>
      </c>
      <c r="E116" t="s">
        <v>28</v>
      </c>
      <c r="F116" t="s">
        <v>1380</v>
      </c>
      <c r="G116" t="s">
        <v>40</v>
      </c>
      <c r="H116" t="s">
        <v>66</v>
      </c>
      <c r="I116" t="s">
        <v>236</v>
      </c>
      <c r="J116">
        <v>145</v>
      </c>
      <c r="K116">
        <v>24</v>
      </c>
      <c r="L116">
        <v>42</v>
      </c>
      <c r="M116">
        <v>127</v>
      </c>
      <c r="N116">
        <v>30</v>
      </c>
      <c r="O116">
        <v>300</v>
      </c>
      <c r="P116">
        <v>2463</v>
      </c>
      <c r="Q116">
        <v>3201</v>
      </c>
      <c r="R116">
        <v>312801</v>
      </c>
      <c r="S116">
        <v>7.2</v>
      </c>
      <c r="T116">
        <v>19</v>
      </c>
      <c r="U116" t="s">
        <v>236</v>
      </c>
      <c r="V116" t="s">
        <v>241</v>
      </c>
      <c r="W116" t="s">
        <v>29</v>
      </c>
      <c r="X116" t="s">
        <v>310</v>
      </c>
    </row>
    <row r="117" spans="1:24" x14ac:dyDescent="0.25">
      <c r="A117">
        <v>116</v>
      </c>
      <c r="B117" t="s">
        <v>1497</v>
      </c>
      <c r="C117" t="s">
        <v>1385</v>
      </c>
      <c r="D117" t="s">
        <v>45</v>
      </c>
      <c r="E117" t="s">
        <v>739</v>
      </c>
      <c r="F117" t="s">
        <v>1380</v>
      </c>
      <c r="G117" t="s">
        <v>49</v>
      </c>
      <c r="H117" t="s">
        <v>27</v>
      </c>
      <c r="I117" t="s">
        <v>237</v>
      </c>
      <c r="J117">
        <v>113</v>
      </c>
      <c r="K117">
        <v>32</v>
      </c>
      <c r="L117">
        <v>60</v>
      </c>
      <c r="M117">
        <v>85</v>
      </c>
      <c r="N117">
        <v>30</v>
      </c>
      <c r="O117">
        <v>300</v>
      </c>
      <c r="P117">
        <v>2231</v>
      </c>
      <c r="Q117">
        <v>2900</v>
      </c>
      <c r="R117">
        <v>189635</v>
      </c>
      <c r="S117">
        <v>2.6</v>
      </c>
      <c r="T117">
        <v>72</v>
      </c>
      <c r="U117" t="s">
        <v>237</v>
      </c>
      <c r="V117" t="s">
        <v>242</v>
      </c>
      <c r="W117" t="s">
        <v>50</v>
      </c>
      <c r="X117" t="s">
        <v>310</v>
      </c>
    </row>
    <row r="118" spans="1:24" x14ac:dyDescent="0.25">
      <c r="A118">
        <v>117</v>
      </c>
      <c r="B118" t="s">
        <v>1498</v>
      </c>
      <c r="C118" t="s">
        <v>1382</v>
      </c>
      <c r="D118" t="s">
        <v>64</v>
      </c>
      <c r="E118" t="s">
        <v>667</v>
      </c>
      <c r="F118" t="s">
        <v>1380</v>
      </c>
      <c r="G118" t="s">
        <v>27</v>
      </c>
      <c r="H118" t="s">
        <v>66</v>
      </c>
      <c r="I118" t="s">
        <v>238</v>
      </c>
      <c r="J118">
        <v>69</v>
      </c>
      <c r="K118">
        <v>0</v>
      </c>
      <c r="L118">
        <v>57</v>
      </c>
      <c r="M118">
        <v>12</v>
      </c>
      <c r="N118">
        <v>30</v>
      </c>
      <c r="O118">
        <v>300</v>
      </c>
      <c r="P118">
        <v>474</v>
      </c>
      <c r="Q118">
        <v>616</v>
      </c>
      <c r="R118">
        <v>5688</v>
      </c>
      <c r="S118">
        <v>5</v>
      </c>
      <c r="T118">
        <v>58</v>
      </c>
      <c r="U118" t="s">
        <v>238</v>
      </c>
      <c r="V118" t="s">
        <v>243</v>
      </c>
      <c r="W118" t="s">
        <v>75</v>
      </c>
      <c r="X118" t="s">
        <v>310</v>
      </c>
    </row>
    <row r="119" spans="1:24" x14ac:dyDescent="0.25">
      <c r="A119">
        <v>118</v>
      </c>
      <c r="B119" t="s">
        <v>1499</v>
      </c>
      <c r="C119" t="s">
        <v>1377</v>
      </c>
      <c r="D119" t="s">
        <v>56</v>
      </c>
      <c r="E119" t="s">
        <v>699</v>
      </c>
      <c r="F119" t="s">
        <v>1383</v>
      </c>
      <c r="G119" t="s">
        <v>27</v>
      </c>
      <c r="H119" t="s">
        <v>27</v>
      </c>
      <c r="I119" t="s">
        <v>239</v>
      </c>
      <c r="J119">
        <v>199</v>
      </c>
      <c r="K119">
        <v>64</v>
      </c>
      <c r="L119">
        <v>7</v>
      </c>
      <c r="M119">
        <v>256</v>
      </c>
      <c r="N119">
        <v>30</v>
      </c>
      <c r="O119">
        <v>300</v>
      </c>
      <c r="P119">
        <v>367</v>
      </c>
      <c r="Q119">
        <v>477</v>
      </c>
      <c r="R119">
        <v>93952</v>
      </c>
      <c r="S119">
        <v>2.6</v>
      </c>
      <c r="T119">
        <v>71</v>
      </c>
      <c r="U119" t="s">
        <v>239</v>
      </c>
      <c r="V119" t="s">
        <v>244</v>
      </c>
      <c r="W119" t="s">
        <v>42</v>
      </c>
      <c r="X119" t="s">
        <v>310</v>
      </c>
    </row>
    <row r="120" spans="1:24" x14ac:dyDescent="0.25">
      <c r="A120">
        <v>119</v>
      </c>
      <c r="B120" t="s">
        <v>1500</v>
      </c>
      <c r="C120" t="s">
        <v>1382</v>
      </c>
      <c r="D120" t="s">
        <v>45</v>
      </c>
      <c r="E120" t="s">
        <v>677</v>
      </c>
      <c r="F120" t="s">
        <v>1383</v>
      </c>
      <c r="G120" t="s">
        <v>27</v>
      </c>
      <c r="H120" t="s">
        <v>66</v>
      </c>
      <c r="I120" t="s">
        <v>240</v>
      </c>
      <c r="J120">
        <v>50</v>
      </c>
      <c r="K120">
        <v>0</v>
      </c>
      <c r="L120">
        <v>53</v>
      </c>
      <c r="M120">
        <v>-3</v>
      </c>
      <c r="N120">
        <v>30</v>
      </c>
      <c r="O120">
        <v>300</v>
      </c>
      <c r="P120">
        <v>1632</v>
      </c>
      <c r="Q120">
        <v>2121</v>
      </c>
      <c r="R120">
        <v>-4896</v>
      </c>
      <c r="S120">
        <v>10.4</v>
      </c>
      <c r="T120">
        <v>62</v>
      </c>
      <c r="U120" t="s">
        <v>240</v>
      </c>
      <c r="V120" t="s">
        <v>245</v>
      </c>
      <c r="W120" t="s">
        <v>29</v>
      </c>
      <c r="X120" t="s">
        <v>310</v>
      </c>
    </row>
    <row r="121" spans="1:24" x14ac:dyDescent="0.25">
      <c r="A121">
        <v>120</v>
      </c>
      <c r="B121" t="s">
        <v>1501</v>
      </c>
      <c r="C121" t="s">
        <v>1382</v>
      </c>
      <c r="D121" t="s">
        <v>56</v>
      </c>
      <c r="E121" t="s">
        <v>687</v>
      </c>
      <c r="F121" t="s">
        <v>1383</v>
      </c>
      <c r="G121" t="s">
        <v>49</v>
      </c>
      <c r="H121" t="s">
        <v>49</v>
      </c>
      <c r="I121" t="s">
        <v>241</v>
      </c>
      <c r="J121">
        <v>44</v>
      </c>
      <c r="K121">
        <v>31</v>
      </c>
      <c r="L121">
        <v>10</v>
      </c>
      <c r="M121">
        <v>65</v>
      </c>
      <c r="N121">
        <v>30</v>
      </c>
      <c r="O121">
        <v>300</v>
      </c>
      <c r="P121">
        <v>3448</v>
      </c>
      <c r="Q121">
        <v>4482</v>
      </c>
      <c r="R121">
        <v>224120</v>
      </c>
      <c r="S121">
        <v>3.8</v>
      </c>
      <c r="T121">
        <v>64</v>
      </c>
      <c r="U121" t="s">
        <v>241</v>
      </c>
      <c r="V121" t="s">
        <v>247</v>
      </c>
      <c r="W121" t="s">
        <v>75</v>
      </c>
      <c r="X121" t="s">
        <v>310</v>
      </c>
    </row>
    <row r="122" spans="1:24" x14ac:dyDescent="0.25">
      <c r="A122">
        <v>121</v>
      </c>
      <c r="B122" t="s">
        <v>1502</v>
      </c>
      <c r="C122" t="s">
        <v>1382</v>
      </c>
      <c r="D122" t="s">
        <v>45</v>
      </c>
      <c r="E122" t="s">
        <v>775</v>
      </c>
      <c r="F122" t="s">
        <v>1378</v>
      </c>
      <c r="G122" t="s">
        <v>27</v>
      </c>
      <c r="H122" t="s">
        <v>27</v>
      </c>
      <c r="I122" t="s">
        <v>242</v>
      </c>
      <c r="J122">
        <v>58</v>
      </c>
      <c r="K122">
        <v>74</v>
      </c>
      <c r="L122">
        <v>58</v>
      </c>
      <c r="M122">
        <v>74</v>
      </c>
      <c r="N122">
        <v>30</v>
      </c>
      <c r="O122">
        <v>300</v>
      </c>
      <c r="P122">
        <v>4362</v>
      </c>
      <c r="Q122">
        <v>5670</v>
      </c>
      <c r="R122">
        <v>322788</v>
      </c>
      <c r="S122">
        <v>6.5</v>
      </c>
      <c r="T122">
        <v>40</v>
      </c>
      <c r="U122" t="s">
        <v>242</v>
      </c>
      <c r="V122" t="s">
        <v>248</v>
      </c>
      <c r="W122" t="s">
        <v>29</v>
      </c>
      <c r="X122" t="s">
        <v>310</v>
      </c>
    </row>
    <row r="123" spans="1:24" x14ac:dyDescent="0.25">
      <c r="A123">
        <v>122</v>
      </c>
      <c r="B123" t="s">
        <v>1503</v>
      </c>
      <c r="C123" t="s">
        <v>1382</v>
      </c>
      <c r="D123" t="s">
        <v>56</v>
      </c>
      <c r="E123" t="s">
        <v>684</v>
      </c>
      <c r="F123" t="s">
        <v>1383</v>
      </c>
      <c r="G123" t="s">
        <v>27</v>
      </c>
      <c r="H123" t="s">
        <v>49</v>
      </c>
      <c r="I123" t="s">
        <v>243</v>
      </c>
      <c r="J123">
        <v>84</v>
      </c>
      <c r="K123">
        <v>2</v>
      </c>
      <c r="L123">
        <v>36</v>
      </c>
      <c r="M123">
        <v>50</v>
      </c>
      <c r="N123">
        <v>30</v>
      </c>
      <c r="O123">
        <v>300</v>
      </c>
      <c r="P123">
        <v>2013</v>
      </c>
      <c r="Q123">
        <v>2616</v>
      </c>
      <c r="R123">
        <v>100650</v>
      </c>
      <c r="S123">
        <v>9.1999999999999993</v>
      </c>
      <c r="T123">
        <v>28</v>
      </c>
      <c r="U123" t="s">
        <v>243</v>
      </c>
      <c r="V123" t="s">
        <v>250</v>
      </c>
      <c r="W123" t="s">
        <v>75</v>
      </c>
      <c r="X123" t="s">
        <v>310</v>
      </c>
    </row>
    <row r="124" spans="1:24" x14ac:dyDescent="0.25">
      <c r="A124">
        <v>123</v>
      </c>
      <c r="B124" t="s">
        <v>1504</v>
      </c>
      <c r="C124" t="s">
        <v>1385</v>
      </c>
      <c r="D124" t="s">
        <v>35</v>
      </c>
      <c r="E124" t="s">
        <v>680</v>
      </c>
      <c r="F124" t="s">
        <v>1380</v>
      </c>
      <c r="G124" t="s">
        <v>40</v>
      </c>
      <c r="H124" t="s">
        <v>49</v>
      </c>
      <c r="I124" t="s">
        <v>244</v>
      </c>
      <c r="J124">
        <v>173</v>
      </c>
      <c r="K124">
        <v>66</v>
      </c>
      <c r="L124">
        <v>42</v>
      </c>
      <c r="M124">
        <v>197</v>
      </c>
      <c r="N124">
        <v>30</v>
      </c>
      <c r="O124">
        <v>300</v>
      </c>
      <c r="P124">
        <v>3077</v>
      </c>
      <c r="Q124">
        <v>4000</v>
      </c>
      <c r="R124">
        <v>606169</v>
      </c>
      <c r="S124">
        <v>2.2999999999999998</v>
      </c>
      <c r="T124">
        <v>8</v>
      </c>
      <c r="U124" t="s">
        <v>244</v>
      </c>
      <c r="V124" t="s">
        <v>251</v>
      </c>
      <c r="W124" t="s">
        <v>42</v>
      </c>
      <c r="X124" t="s">
        <v>310</v>
      </c>
    </row>
    <row r="125" spans="1:24" x14ac:dyDescent="0.25">
      <c r="A125">
        <v>124</v>
      </c>
      <c r="B125" t="s">
        <v>1505</v>
      </c>
      <c r="C125" t="s">
        <v>1382</v>
      </c>
      <c r="D125" t="s">
        <v>64</v>
      </c>
      <c r="E125" t="s">
        <v>671</v>
      </c>
      <c r="F125" t="s">
        <v>1380</v>
      </c>
      <c r="G125" t="s">
        <v>27</v>
      </c>
      <c r="H125" t="s">
        <v>27</v>
      </c>
      <c r="I125" t="s">
        <v>245</v>
      </c>
      <c r="J125">
        <v>67</v>
      </c>
      <c r="K125">
        <v>30</v>
      </c>
      <c r="L125">
        <v>3</v>
      </c>
      <c r="M125">
        <v>94</v>
      </c>
      <c r="N125">
        <v>30</v>
      </c>
      <c r="O125">
        <v>300</v>
      </c>
      <c r="P125">
        <v>640</v>
      </c>
      <c r="Q125">
        <v>832</v>
      </c>
      <c r="R125">
        <v>60160</v>
      </c>
      <c r="S125">
        <v>5.6</v>
      </c>
      <c r="T125">
        <v>6</v>
      </c>
      <c r="U125" t="s">
        <v>245</v>
      </c>
      <c r="V125" t="s">
        <v>252</v>
      </c>
      <c r="W125" t="s">
        <v>29</v>
      </c>
      <c r="X125" t="s">
        <v>310</v>
      </c>
    </row>
    <row r="126" spans="1:24" x14ac:dyDescent="0.25">
      <c r="A126">
        <v>125</v>
      </c>
      <c r="B126" t="s">
        <v>1506</v>
      </c>
      <c r="C126" t="s">
        <v>1382</v>
      </c>
      <c r="D126" t="s">
        <v>56</v>
      </c>
      <c r="E126" t="s">
        <v>671</v>
      </c>
      <c r="F126" t="s">
        <v>1380</v>
      </c>
      <c r="G126" t="s">
        <v>27</v>
      </c>
      <c r="H126" t="s">
        <v>27</v>
      </c>
      <c r="I126" t="s">
        <v>247</v>
      </c>
      <c r="J126">
        <v>155</v>
      </c>
      <c r="K126">
        <v>32</v>
      </c>
      <c r="L126">
        <v>41</v>
      </c>
      <c r="M126">
        <v>146</v>
      </c>
      <c r="N126">
        <v>30</v>
      </c>
      <c r="O126">
        <v>300</v>
      </c>
      <c r="P126">
        <v>2553</v>
      </c>
      <c r="Q126">
        <v>3318</v>
      </c>
      <c r="R126">
        <v>372738</v>
      </c>
      <c r="S126">
        <v>9.1999999999999993</v>
      </c>
      <c r="T126">
        <v>73</v>
      </c>
      <c r="U126" t="s">
        <v>247</v>
      </c>
      <c r="V126" t="s">
        <v>253</v>
      </c>
      <c r="W126" t="s">
        <v>42</v>
      </c>
      <c r="X126" t="s">
        <v>310</v>
      </c>
    </row>
    <row r="127" spans="1:24" x14ac:dyDescent="0.25">
      <c r="A127">
        <v>126</v>
      </c>
      <c r="B127" t="s">
        <v>1507</v>
      </c>
      <c r="C127" t="s">
        <v>1382</v>
      </c>
      <c r="D127" t="s">
        <v>56</v>
      </c>
      <c r="E127" t="s">
        <v>41</v>
      </c>
      <c r="F127" t="s">
        <v>1383</v>
      </c>
      <c r="G127" t="s">
        <v>40</v>
      </c>
      <c r="H127" t="s">
        <v>27</v>
      </c>
      <c r="I127" t="s">
        <v>248</v>
      </c>
      <c r="J127">
        <v>128</v>
      </c>
      <c r="K127">
        <v>39</v>
      </c>
      <c r="L127">
        <v>7</v>
      </c>
      <c r="M127">
        <v>160</v>
      </c>
      <c r="N127">
        <v>30</v>
      </c>
      <c r="O127">
        <v>300</v>
      </c>
      <c r="P127">
        <v>1652</v>
      </c>
      <c r="Q127">
        <v>2147</v>
      </c>
      <c r="R127">
        <v>264320</v>
      </c>
      <c r="S127">
        <v>6.3</v>
      </c>
      <c r="T127">
        <v>75</v>
      </c>
      <c r="U127" t="s">
        <v>248</v>
      </c>
      <c r="V127" t="s">
        <v>254</v>
      </c>
      <c r="W127" t="s">
        <v>75</v>
      </c>
      <c r="X127" t="s">
        <v>310</v>
      </c>
    </row>
    <row r="128" spans="1:24" x14ac:dyDescent="0.25">
      <c r="A128">
        <v>127</v>
      </c>
      <c r="B128" t="s">
        <v>1508</v>
      </c>
      <c r="C128" t="s">
        <v>1382</v>
      </c>
      <c r="D128" t="s">
        <v>64</v>
      </c>
      <c r="E128" t="s">
        <v>28</v>
      </c>
      <c r="F128" t="s">
        <v>1378</v>
      </c>
      <c r="G128" t="s">
        <v>49</v>
      </c>
      <c r="H128" t="s">
        <v>49</v>
      </c>
      <c r="I128" t="s">
        <v>250</v>
      </c>
      <c r="J128">
        <v>155</v>
      </c>
      <c r="K128">
        <v>80</v>
      </c>
      <c r="L128">
        <v>52</v>
      </c>
      <c r="M128">
        <v>183</v>
      </c>
      <c r="N128">
        <v>30</v>
      </c>
      <c r="O128">
        <v>300</v>
      </c>
      <c r="P128">
        <v>2074</v>
      </c>
      <c r="Q128">
        <v>2696</v>
      </c>
      <c r="R128">
        <v>379542</v>
      </c>
      <c r="S128">
        <v>1.5</v>
      </c>
      <c r="T128">
        <v>9</v>
      </c>
      <c r="U128" t="s">
        <v>250</v>
      </c>
      <c r="V128" t="s">
        <v>255</v>
      </c>
      <c r="W128" t="s">
        <v>29</v>
      </c>
      <c r="X128" t="s">
        <v>310</v>
      </c>
    </row>
    <row r="129" spans="1:24" x14ac:dyDescent="0.25">
      <c r="A129">
        <v>128</v>
      </c>
      <c r="B129" t="s">
        <v>1509</v>
      </c>
      <c r="C129" t="s">
        <v>1377</v>
      </c>
      <c r="D129" t="s">
        <v>35</v>
      </c>
      <c r="E129" t="s">
        <v>684</v>
      </c>
      <c r="F129" t="s">
        <v>1383</v>
      </c>
      <c r="G129" t="s">
        <v>27</v>
      </c>
      <c r="H129" t="s">
        <v>66</v>
      </c>
      <c r="I129" t="s">
        <v>251</v>
      </c>
      <c r="J129">
        <v>164</v>
      </c>
      <c r="K129">
        <v>13</v>
      </c>
      <c r="L129">
        <v>60</v>
      </c>
      <c r="M129">
        <v>117</v>
      </c>
      <c r="N129">
        <v>30</v>
      </c>
      <c r="O129">
        <v>300</v>
      </c>
      <c r="P129">
        <v>3198</v>
      </c>
      <c r="Q129">
        <v>4157</v>
      </c>
      <c r="R129">
        <v>374166</v>
      </c>
      <c r="S129">
        <v>9.1</v>
      </c>
      <c r="T129">
        <v>57</v>
      </c>
      <c r="U129" t="s">
        <v>251</v>
      </c>
      <c r="V129" t="s">
        <v>256</v>
      </c>
      <c r="W129" t="s">
        <v>29</v>
      </c>
      <c r="X129" t="s">
        <v>310</v>
      </c>
    </row>
    <row r="130" spans="1:24" x14ac:dyDescent="0.25">
      <c r="A130">
        <v>129</v>
      </c>
      <c r="B130" t="s">
        <v>1510</v>
      </c>
      <c r="C130" t="s">
        <v>1377</v>
      </c>
      <c r="D130" t="s">
        <v>35</v>
      </c>
      <c r="E130" t="s">
        <v>671</v>
      </c>
      <c r="F130" t="s">
        <v>1378</v>
      </c>
      <c r="G130" t="s">
        <v>40</v>
      </c>
      <c r="H130" t="s">
        <v>49</v>
      </c>
      <c r="I130" t="s">
        <v>252</v>
      </c>
      <c r="J130">
        <v>164</v>
      </c>
      <c r="K130">
        <v>79</v>
      </c>
      <c r="L130">
        <v>3</v>
      </c>
      <c r="M130">
        <v>240</v>
      </c>
      <c r="N130">
        <v>30</v>
      </c>
      <c r="O130">
        <v>300</v>
      </c>
      <c r="P130">
        <v>656</v>
      </c>
      <c r="Q130">
        <v>852</v>
      </c>
      <c r="R130">
        <v>157440</v>
      </c>
      <c r="S130">
        <v>10.3</v>
      </c>
      <c r="T130">
        <v>79</v>
      </c>
      <c r="U130" t="s">
        <v>252</v>
      </c>
      <c r="V130" t="s">
        <v>257</v>
      </c>
      <c r="W130" t="s">
        <v>29</v>
      </c>
      <c r="X130" t="s">
        <v>310</v>
      </c>
    </row>
    <row r="131" spans="1:24" x14ac:dyDescent="0.25">
      <c r="A131">
        <v>130</v>
      </c>
      <c r="B131" t="s">
        <v>1511</v>
      </c>
      <c r="C131" t="s">
        <v>1377</v>
      </c>
      <c r="D131" t="s">
        <v>45</v>
      </c>
      <c r="E131" t="s">
        <v>59</v>
      </c>
      <c r="F131" t="s">
        <v>1378</v>
      </c>
      <c r="G131" t="s">
        <v>49</v>
      </c>
      <c r="H131" t="s">
        <v>27</v>
      </c>
      <c r="I131" t="s">
        <v>253</v>
      </c>
      <c r="J131">
        <v>64</v>
      </c>
      <c r="K131">
        <v>4</v>
      </c>
      <c r="L131">
        <v>20</v>
      </c>
      <c r="M131">
        <v>48</v>
      </c>
      <c r="N131">
        <v>30</v>
      </c>
      <c r="O131">
        <v>300</v>
      </c>
      <c r="P131">
        <v>1710</v>
      </c>
      <c r="Q131">
        <v>2223</v>
      </c>
      <c r="R131">
        <v>82080</v>
      </c>
      <c r="S131">
        <v>8.6</v>
      </c>
      <c r="T131">
        <v>71</v>
      </c>
      <c r="U131" t="s">
        <v>253</v>
      </c>
      <c r="V131" t="s">
        <v>258</v>
      </c>
      <c r="W131" t="s">
        <v>29</v>
      </c>
      <c r="X131" t="s">
        <v>310</v>
      </c>
    </row>
    <row r="132" spans="1:24" x14ac:dyDescent="0.25">
      <c r="A132">
        <v>131</v>
      </c>
      <c r="B132" t="s">
        <v>1512</v>
      </c>
      <c r="C132" t="s">
        <v>1385</v>
      </c>
      <c r="D132" t="s">
        <v>56</v>
      </c>
      <c r="E132" t="s">
        <v>671</v>
      </c>
      <c r="F132" t="s">
        <v>1380</v>
      </c>
      <c r="G132" t="s">
        <v>49</v>
      </c>
      <c r="H132" t="s">
        <v>27</v>
      </c>
      <c r="I132" t="s">
        <v>254</v>
      </c>
      <c r="J132">
        <v>39</v>
      </c>
      <c r="K132">
        <v>76</v>
      </c>
      <c r="L132">
        <v>11</v>
      </c>
      <c r="M132">
        <v>104</v>
      </c>
      <c r="N132">
        <v>30</v>
      </c>
      <c r="O132">
        <v>300</v>
      </c>
      <c r="P132">
        <v>4685</v>
      </c>
      <c r="Q132">
        <v>6090</v>
      </c>
      <c r="R132">
        <v>487240</v>
      </c>
      <c r="S132">
        <v>7.2</v>
      </c>
      <c r="T132">
        <v>45</v>
      </c>
      <c r="U132" t="s">
        <v>254</v>
      </c>
      <c r="V132" t="s">
        <v>259</v>
      </c>
      <c r="W132" t="s">
        <v>75</v>
      </c>
      <c r="X132" t="s">
        <v>310</v>
      </c>
    </row>
    <row r="133" spans="1:24" x14ac:dyDescent="0.25">
      <c r="A133">
        <v>132</v>
      </c>
      <c r="B133" t="s">
        <v>1513</v>
      </c>
      <c r="C133" t="s">
        <v>1382</v>
      </c>
      <c r="D133" t="s">
        <v>45</v>
      </c>
      <c r="E133" t="s">
        <v>687</v>
      </c>
      <c r="F133" t="s">
        <v>1380</v>
      </c>
      <c r="G133" t="s">
        <v>40</v>
      </c>
      <c r="H133" t="s">
        <v>27</v>
      </c>
      <c r="I133" t="s">
        <v>255</v>
      </c>
      <c r="J133">
        <v>39</v>
      </c>
      <c r="K133">
        <v>17</v>
      </c>
      <c r="L133">
        <v>23</v>
      </c>
      <c r="M133">
        <v>33</v>
      </c>
      <c r="N133">
        <v>30</v>
      </c>
      <c r="O133">
        <v>300</v>
      </c>
      <c r="P133">
        <v>1758</v>
      </c>
      <c r="Q133">
        <v>2285</v>
      </c>
      <c r="R133">
        <v>58014</v>
      </c>
      <c r="S133">
        <v>8.8000000000000007</v>
      </c>
      <c r="T133">
        <v>59</v>
      </c>
      <c r="U133" t="s">
        <v>255</v>
      </c>
      <c r="V133" t="s">
        <v>260</v>
      </c>
      <c r="W133" t="s">
        <v>29</v>
      </c>
      <c r="X133" t="s">
        <v>310</v>
      </c>
    </row>
    <row r="134" spans="1:24" x14ac:dyDescent="0.25">
      <c r="A134">
        <v>133</v>
      </c>
      <c r="B134" t="s">
        <v>1514</v>
      </c>
      <c r="C134" t="s">
        <v>1377</v>
      </c>
      <c r="D134" t="s">
        <v>35</v>
      </c>
      <c r="E134" t="s">
        <v>640</v>
      </c>
      <c r="F134" t="s">
        <v>1383</v>
      </c>
      <c r="G134" t="s">
        <v>40</v>
      </c>
      <c r="H134" t="s">
        <v>66</v>
      </c>
      <c r="I134" t="s">
        <v>256</v>
      </c>
      <c r="J134">
        <v>157</v>
      </c>
      <c r="K134">
        <v>40</v>
      </c>
      <c r="L134">
        <v>39</v>
      </c>
      <c r="M134">
        <v>158</v>
      </c>
      <c r="N134">
        <v>30</v>
      </c>
      <c r="O134">
        <v>300</v>
      </c>
      <c r="P134">
        <v>2482</v>
      </c>
      <c r="Q134">
        <v>3226</v>
      </c>
      <c r="R134">
        <v>392156</v>
      </c>
      <c r="S134">
        <v>5</v>
      </c>
      <c r="T134">
        <v>29</v>
      </c>
      <c r="U134" t="s">
        <v>256</v>
      </c>
      <c r="V134" t="s">
        <v>261</v>
      </c>
      <c r="W134" t="s">
        <v>29</v>
      </c>
      <c r="X134" t="s">
        <v>310</v>
      </c>
    </row>
    <row r="135" spans="1:24" x14ac:dyDescent="0.25">
      <c r="A135">
        <v>134</v>
      </c>
      <c r="B135" t="s">
        <v>1515</v>
      </c>
      <c r="C135" t="s">
        <v>1385</v>
      </c>
      <c r="D135" t="s">
        <v>56</v>
      </c>
      <c r="E135" t="s">
        <v>775</v>
      </c>
      <c r="F135" t="s">
        <v>1378</v>
      </c>
      <c r="G135" t="s">
        <v>27</v>
      </c>
      <c r="H135" t="s">
        <v>27</v>
      </c>
      <c r="I135" t="s">
        <v>257</v>
      </c>
      <c r="J135">
        <v>179</v>
      </c>
      <c r="K135">
        <v>57</v>
      </c>
      <c r="L135">
        <v>59</v>
      </c>
      <c r="M135">
        <v>177</v>
      </c>
      <c r="N135">
        <v>30</v>
      </c>
      <c r="O135">
        <v>300</v>
      </c>
      <c r="P135">
        <v>922</v>
      </c>
      <c r="Q135">
        <v>1198</v>
      </c>
      <c r="R135">
        <v>163194</v>
      </c>
      <c r="S135">
        <v>8.8000000000000007</v>
      </c>
      <c r="T135">
        <v>23</v>
      </c>
      <c r="U135" t="s">
        <v>257</v>
      </c>
      <c r="V135" t="s">
        <v>262</v>
      </c>
      <c r="W135" t="s">
        <v>42</v>
      </c>
      <c r="X135" t="s">
        <v>310</v>
      </c>
    </row>
    <row r="136" spans="1:24" x14ac:dyDescent="0.25">
      <c r="A136">
        <v>135</v>
      </c>
      <c r="B136" t="s">
        <v>1516</v>
      </c>
      <c r="C136" t="s">
        <v>1385</v>
      </c>
      <c r="D136" t="s">
        <v>45</v>
      </c>
      <c r="E136" t="s">
        <v>657</v>
      </c>
      <c r="F136" t="s">
        <v>1380</v>
      </c>
      <c r="G136" t="s">
        <v>40</v>
      </c>
      <c r="H136" t="s">
        <v>27</v>
      </c>
      <c r="I136" t="s">
        <v>258</v>
      </c>
      <c r="J136">
        <v>95</v>
      </c>
      <c r="K136">
        <v>17</v>
      </c>
      <c r="L136">
        <v>0</v>
      </c>
      <c r="M136">
        <v>112</v>
      </c>
      <c r="N136">
        <v>30</v>
      </c>
      <c r="O136">
        <v>300</v>
      </c>
      <c r="P136">
        <v>4156</v>
      </c>
      <c r="Q136">
        <v>5402</v>
      </c>
      <c r="R136">
        <v>465472</v>
      </c>
      <c r="S136">
        <v>8.6</v>
      </c>
      <c r="T136">
        <v>60</v>
      </c>
      <c r="U136" t="s">
        <v>258</v>
      </c>
      <c r="V136" t="s">
        <v>263</v>
      </c>
      <c r="W136" t="s">
        <v>50</v>
      </c>
      <c r="X136" t="s">
        <v>310</v>
      </c>
    </row>
    <row r="137" spans="1:24" x14ac:dyDescent="0.25">
      <c r="A137">
        <v>136</v>
      </c>
      <c r="B137" t="s">
        <v>1517</v>
      </c>
      <c r="C137" t="s">
        <v>1382</v>
      </c>
      <c r="D137" t="s">
        <v>56</v>
      </c>
      <c r="E137" t="s">
        <v>739</v>
      </c>
      <c r="F137" t="s">
        <v>1380</v>
      </c>
      <c r="G137" t="s">
        <v>27</v>
      </c>
      <c r="H137" t="s">
        <v>66</v>
      </c>
      <c r="I137" t="s">
        <v>259</v>
      </c>
      <c r="J137">
        <v>71</v>
      </c>
      <c r="K137">
        <v>57</v>
      </c>
      <c r="L137">
        <v>25</v>
      </c>
      <c r="M137">
        <v>103</v>
      </c>
      <c r="N137">
        <v>30</v>
      </c>
      <c r="O137">
        <v>300</v>
      </c>
      <c r="P137">
        <v>3454</v>
      </c>
      <c r="Q137">
        <v>4490</v>
      </c>
      <c r="R137">
        <v>355762</v>
      </c>
      <c r="S137">
        <v>6</v>
      </c>
      <c r="T137">
        <v>7</v>
      </c>
      <c r="U137" t="s">
        <v>259</v>
      </c>
      <c r="V137" t="s">
        <v>264</v>
      </c>
      <c r="W137" t="s">
        <v>42</v>
      </c>
      <c r="X137" t="s">
        <v>310</v>
      </c>
    </row>
    <row r="138" spans="1:24" x14ac:dyDescent="0.25">
      <c r="A138">
        <v>137</v>
      </c>
      <c r="B138" t="s">
        <v>1518</v>
      </c>
      <c r="C138" t="s">
        <v>1377</v>
      </c>
      <c r="D138" t="s">
        <v>45</v>
      </c>
      <c r="E138" t="s">
        <v>680</v>
      </c>
      <c r="F138" t="s">
        <v>1383</v>
      </c>
      <c r="G138" t="s">
        <v>27</v>
      </c>
      <c r="H138" t="s">
        <v>27</v>
      </c>
      <c r="I138" t="s">
        <v>260</v>
      </c>
      <c r="J138">
        <v>200</v>
      </c>
      <c r="K138">
        <v>56</v>
      </c>
      <c r="L138">
        <v>50</v>
      </c>
      <c r="M138">
        <v>206</v>
      </c>
      <c r="N138">
        <v>30</v>
      </c>
      <c r="O138">
        <v>300</v>
      </c>
      <c r="P138">
        <v>3083</v>
      </c>
      <c r="Q138">
        <v>4007</v>
      </c>
      <c r="R138">
        <v>635098</v>
      </c>
      <c r="S138">
        <v>4.4000000000000004</v>
      </c>
      <c r="T138">
        <v>14</v>
      </c>
      <c r="U138" t="s">
        <v>260</v>
      </c>
      <c r="V138" t="s">
        <v>265</v>
      </c>
      <c r="W138" t="s">
        <v>29</v>
      </c>
      <c r="X138" t="s">
        <v>310</v>
      </c>
    </row>
    <row r="139" spans="1:24" x14ac:dyDescent="0.25">
      <c r="A139">
        <v>138</v>
      </c>
      <c r="B139" t="s">
        <v>1519</v>
      </c>
      <c r="C139" t="s">
        <v>1377</v>
      </c>
      <c r="D139" t="s">
        <v>56</v>
      </c>
      <c r="E139" t="s">
        <v>687</v>
      </c>
      <c r="F139" t="s">
        <v>1380</v>
      </c>
      <c r="G139" t="s">
        <v>49</v>
      </c>
      <c r="H139" t="s">
        <v>66</v>
      </c>
      <c r="I139" t="s">
        <v>261</v>
      </c>
      <c r="J139">
        <v>116</v>
      </c>
      <c r="K139">
        <v>7</v>
      </c>
      <c r="L139">
        <v>59</v>
      </c>
      <c r="M139">
        <v>64</v>
      </c>
      <c r="N139">
        <v>30</v>
      </c>
      <c r="O139">
        <v>300</v>
      </c>
      <c r="P139">
        <v>3861</v>
      </c>
      <c r="Q139">
        <v>5019</v>
      </c>
      <c r="R139">
        <v>247104</v>
      </c>
      <c r="S139">
        <v>7.3</v>
      </c>
      <c r="T139">
        <v>10</v>
      </c>
      <c r="U139" t="s">
        <v>261</v>
      </c>
      <c r="V139" t="s">
        <v>266</v>
      </c>
      <c r="W139" t="s">
        <v>42</v>
      </c>
      <c r="X139" t="s">
        <v>310</v>
      </c>
    </row>
    <row r="140" spans="1:24" x14ac:dyDescent="0.25">
      <c r="A140">
        <v>139</v>
      </c>
      <c r="B140" t="s">
        <v>1520</v>
      </c>
      <c r="C140" t="s">
        <v>1382</v>
      </c>
      <c r="D140" t="s">
        <v>45</v>
      </c>
      <c r="E140" t="s">
        <v>714</v>
      </c>
      <c r="F140" t="s">
        <v>1383</v>
      </c>
      <c r="G140" t="s">
        <v>40</v>
      </c>
      <c r="H140" t="s">
        <v>27</v>
      </c>
      <c r="I140" t="s">
        <v>262</v>
      </c>
      <c r="J140">
        <v>36</v>
      </c>
      <c r="K140">
        <v>52</v>
      </c>
      <c r="L140">
        <v>3</v>
      </c>
      <c r="M140">
        <v>85</v>
      </c>
      <c r="N140">
        <v>30</v>
      </c>
      <c r="O140">
        <v>300</v>
      </c>
      <c r="P140">
        <v>3314</v>
      </c>
      <c r="Q140">
        <v>4308</v>
      </c>
      <c r="R140">
        <v>281690</v>
      </c>
      <c r="S140">
        <v>7.2</v>
      </c>
      <c r="T140">
        <v>24</v>
      </c>
      <c r="U140" t="s">
        <v>262</v>
      </c>
      <c r="V140" t="s">
        <v>267</v>
      </c>
      <c r="W140" t="s">
        <v>50</v>
      </c>
      <c r="X140" t="s">
        <v>310</v>
      </c>
    </row>
    <row r="141" spans="1:24" x14ac:dyDescent="0.25">
      <c r="A141">
        <v>140</v>
      </c>
      <c r="B141" t="s">
        <v>1521</v>
      </c>
      <c r="C141" t="s">
        <v>1385</v>
      </c>
      <c r="D141" t="s">
        <v>35</v>
      </c>
      <c r="E141" t="s">
        <v>41</v>
      </c>
      <c r="F141" t="s">
        <v>1380</v>
      </c>
      <c r="G141" t="s">
        <v>27</v>
      </c>
      <c r="H141" t="s">
        <v>49</v>
      </c>
      <c r="I141" t="s">
        <v>263</v>
      </c>
      <c r="J141">
        <v>158</v>
      </c>
      <c r="K141">
        <v>15</v>
      </c>
      <c r="L141">
        <v>51</v>
      </c>
      <c r="M141">
        <v>122</v>
      </c>
      <c r="N141">
        <v>30</v>
      </c>
      <c r="O141">
        <v>300</v>
      </c>
      <c r="P141">
        <v>3171</v>
      </c>
      <c r="Q141">
        <v>4122</v>
      </c>
      <c r="R141">
        <v>386862</v>
      </c>
      <c r="S141">
        <v>8.5</v>
      </c>
      <c r="T141">
        <v>25</v>
      </c>
      <c r="U141" t="s">
        <v>263</v>
      </c>
      <c r="V141" t="s">
        <v>268</v>
      </c>
      <c r="W141" t="s">
        <v>29</v>
      </c>
      <c r="X141" t="s">
        <v>310</v>
      </c>
    </row>
    <row r="142" spans="1:24" x14ac:dyDescent="0.25">
      <c r="A142">
        <v>141</v>
      </c>
      <c r="B142" t="s">
        <v>1522</v>
      </c>
      <c r="C142" t="s">
        <v>1382</v>
      </c>
      <c r="D142" t="s">
        <v>45</v>
      </c>
      <c r="E142" t="s">
        <v>667</v>
      </c>
      <c r="F142" t="s">
        <v>1378</v>
      </c>
      <c r="G142" t="s">
        <v>27</v>
      </c>
      <c r="H142" t="s">
        <v>27</v>
      </c>
      <c r="I142" t="s">
        <v>264</v>
      </c>
      <c r="J142">
        <v>96</v>
      </c>
      <c r="K142">
        <v>58</v>
      </c>
      <c r="L142">
        <v>40</v>
      </c>
      <c r="M142">
        <v>114</v>
      </c>
      <c r="N142">
        <v>30</v>
      </c>
      <c r="O142">
        <v>300</v>
      </c>
      <c r="P142">
        <v>3934</v>
      </c>
      <c r="Q142">
        <v>5114</v>
      </c>
      <c r="R142">
        <v>448476</v>
      </c>
      <c r="S142">
        <v>6.8</v>
      </c>
      <c r="T142">
        <v>51</v>
      </c>
      <c r="U142" t="s">
        <v>264</v>
      </c>
      <c r="V142" t="s">
        <v>269</v>
      </c>
      <c r="W142" t="s">
        <v>75</v>
      </c>
      <c r="X142" t="s">
        <v>310</v>
      </c>
    </row>
    <row r="143" spans="1:24" x14ac:dyDescent="0.25">
      <c r="A143">
        <v>142</v>
      </c>
      <c r="B143" t="s">
        <v>1523</v>
      </c>
      <c r="C143" t="s">
        <v>1382</v>
      </c>
      <c r="D143" t="s">
        <v>56</v>
      </c>
      <c r="E143" t="s">
        <v>640</v>
      </c>
      <c r="F143" t="s">
        <v>1380</v>
      </c>
      <c r="G143" t="s">
        <v>27</v>
      </c>
      <c r="H143" t="s">
        <v>66</v>
      </c>
      <c r="I143" t="s">
        <v>265</v>
      </c>
      <c r="J143">
        <v>193</v>
      </c>
      <c r="K143">
        <v>1</v>
      </c>
      <c r="L143">
        <v>28</v>
      </c>
      <c r="M143">
        <v>166</v>
      </c>
      <c r="N143">
        <v>30</v>
      </c>
      <c r="O143">
        <v>300</v>
      </c>
      <c r="P143">
        <v>375</v>
      </c>
      <c r="Q143">
        <v>487</v>
      </c>
      <c r="R143">
        <v>62250</v>
      </c>
      <c r="S143">
        <v>11.3</v>
      </c>
      <c r="T143">
        <v>22</v>
      </c>
      <c r="U143" t="s">
        <v>265</v>
      </c>
      <c r="V143" t="s">
        <v>270</v>
      </c>
      <c r="W143" t="s">
        <v>29</v>
      </c>
      <c r="X143" t="s">
        <v>310</v>
      </c>
    </row>
    <row r="144" spans="1:24" x14ac:dyDescent="0.25">
      <c r="A144">
        <v>143</v>
      </c>
      <c r="B144" t="s">
        <v>1524</v>
      </c>
      <c r="C144" t="s">
        <v>1377</v>
      </c>
      <c r="D144" t="s">
        <v>56</v>
      </c>
      <c r="E144" t="s">
        <v>677</v>
      </c>
      <c r="F144" t="s">
        <v>1383</v>
      </c>
      <c r="G144" t="s">
        <v>27</v>
      </c>
      <c r="H144" t="s">
        <v>66</v>
      </c>
      <c r="I144" t="s">
        <v>266</v>
      </c>
      <c r="J144">
        <v>62</v>
      </c>
      <c r="K144">
        <v>46</v>
      </c>
      <c r="L144">
        <v>21</v>
      </c>
      <c r="M144">
        <v>87</v>
      </c>
      <c r="N144">
        <v>30</v>
      </c>
      <c r="O144">
        <v>300</v>
      </c>
      <c r="P144">
        <v>1511</v>
      </c>
      <c r="Q144">
        <v>1964</v>
      </c>
      <c r="R144">
        <v>131457</v>
      </c>
      <c r="S144">
        <v>8.9</v>
      </c>
      <c r="T144">
        <v>53</v>
      </c>
      <c r="U144" t="s">
        <v>266</v>
      </c>
      <c r="V144" t="s">
        <v>272</v>
      </c>
      <c r="W144" t="s">
        <v>50</v>
      </c>
      <c r="X144" t="s">
        <v>310</v>
      </c>
    </row>
    <row r="145" spans="1:24" x14ac:dyDescent="0.25">
      <c r="A145">
        <v>144</v>
      </c>
      <c r="B145" t="s">
        <v>1525</v>
      </c>
      <c r="C145" t="s">
        <v>1382</v>
      </c>
      <c r="D145" t="s">
        <v>64</v>
      </c>
      <c r="E145" t="s">
        <v>671</v>
      </c>
      <c r="F145" t="s">
        <v>1380</v>
      </c>
      <c r="G145" t="s">
        <v>40</v>
      </c>
      <c r="H145" t="s">
        <v>66</v>
      </c>
      <c r="I145" t="s">
        <v>267</v>
      </c>
      <c r="J145">
        <v>42</v>
      </c>
      <c r="K145">
        <v>59</v>
      </c>
      <c r="L145">
        <v>60</v>
      </c>
      <c r="M145">
        <v>41</v>
      </c>
      <c r="N145">
        <v>30</v>
      </c>
      <c r="O145">
        <v>300</v>
      </c>
      <c r="P145">
        <v>2539</v>
      </c>
      <c r="Q145">
        <v>3300</v>
      </c>
      <c r="R145">
        <v>104099</v>
      </c>
      <c r="S145">
        <v>10.3</v>
      </c>
      <c r="T145">
        <v>15</v>
      </c>
      <c r="U145" t="s">
        <v>267</v>
      </c>
      <c r="V145" t="s">
        <v>273</v>
      </c>
      <c r="W145" t="s">
        <v>75</v>
      </c>
      <c r="X145" t="s">
        <v>310</v>
      </c>
    </row>
    <row r="146" spans="1:24" x14ac:dyDescent="0.25">
      <c r="A146">
        <v>145</v>
      </c>
      <c r="B146" t="s">
        <v>1526</v>
      </c>
      <c r="C146" t="s">
        <v>1377</v>
      </c>
      <c r="D146" t="s">
        <v>35</v>
      </c>
      <c r="E146" t="s">
        <v>667</v>
      </c>
      <c r="F146" t="s">
        <v>1380</v>
      </c>
      <c r="G146" t="s">
        <v>49</v>
      </c>
      <c r="H146" t="s">
        <v>66</v>
      </c>
      <c r="I146" t="s">
        <v>268</v>
      </c>
      <c r="J146">
        <v>47</v>
      </c>
      <c r="K146">
        <v>45</v>
      </c>
      <c r="L146">
        <v>9</v>
      </c>
      <c r="M146">
        <v>83</v>
      </c>
      <c r="N146">
        <v>30</v>
      </c>
      <c r="O146">
        <v>300</v>
      </c>
      <c r="P146">
        <v>3967</v>
      </c>
      <c r="Q146">
        <v>5157</v>
      </c>
      <c r="R146">
        <v>329261</v>
      </c>
      <c r="S146">
        <v>6.4</v>
      </c>
      <c r="T146">
        <v>12</v>
      </c>
      <c r="U146" t="s">
        <v>268</v>
      </c>
      <c r="V146" t="s">
        <v>274</v>
      </c>
      <c r="W146" t="s">
        <v>50</v>
      </c>
      <c r="X146" t="s">
        <v>310</v>
      </c>
    </row>
    <row r="147" spans="1:24" x14ac:dyDescent="0.25">
      <c r="A147">
        <v>146</v>
      </c>
      <c r="B147" t="s">
        <v>1527</v>
      </c>
      <c r="C147" t="s">
        <v>1382</v>
      </c>
      <c r="D147" t="s">
        <v>64</v>
      </c>
      <c r="E147" t="s">
        <v>59</v>
      </c>
      <c r="F147" t="s">
        <v>1378</v>
      </c>
      <c r="G147" t="s">
        <v>49</v>
      </c>
      <c r="H147" t="s">
        <v>66</v>
      </c>
      <c r="I147" t="s">
        <v>269</v>
      </c>
      <c r="J147">
        <v>111</v>
      </c>
      <c r="K147">
        <v>3</v>
      </c>
      <c r="L147">
        <v>60</v>
      </c>
      <c r="M147">
        <v>54</v>
      </c>
      <c r="N147">
        <v>30</v>
      </c>
      <c r="O147">
        <v>300</v>
      </c>
      <c r="P147">
        <v>1960</v>
      </c>
      <c r="Q147">
        <v>2548</v>
      </c>
      <c r="R147">
        <v>105840</v>
      </c>
      <c r="S147">
        <v>9.6999999999999993</v>
      </c>
      <c r="T147">
        <v>48</v>
      </c>
      <c r="U147" t="s">
        <v>269</v>
      </c>
      <c r="V147" t="s">
        <v>1351</v>
      </c>
      <c r="W147" t="s">
        <v>75</v>
      </c>
      <c r="X147" t="s">
        <v>310</v>
      </c>
    </row>
    <row r="148" spans="1:24" x14ac:dyDescent="0.25">
      <c r="A148">
        <v>147</v>
      </c>
      <c r="B148" t="s">
        <v>1528</v>
      </c>
      <c r="C148" t="s">
        <v>1377</v>
      </c>
      <c r="D148" t="s">
        <v>45</v>
      </c>
      <c r="E148" t="s">
        <v>671</v>
      </c>
      <c r="F148" t="s">
        <v>1380</v>
      </c>
      <c r="G148" t="s">
        <v>27</v>
      </c>
      <c r="H148" t="s">
        <v>27</v>
      </c>
      <c r="I148" t="s">
        <v>270</v>
      </c>
      <c r="J148">
        <v>130</v>
      </c>
      <c r="K148">
        <v>19</v>
      </c>
      <c r="L148">
        <v>20</v>
      </c>
      <c r="M148">
        <v>129</v>
      </c>
      <c r="N148">
        <v>30</v>
      </c>
      <c r="O148">
        <v>300</v>
      </c>
      <c r="P148">
        <v>1195</v>
      </c>
      <c r="Q148">
        <v>1553</v>
      </c>
      <c r="R148">
        <v>154155</v>
      </c>
      <c r="S148">
        <v>7.4</v>
      </c>
      <c r="T148">
        <v>72</v>
      </c>
      <c r="U148" t="s">
        <v>270</v>
      </c>
      <c r="V148" t="s">
        <v>1354</v>
      </c>
      <c r="W148" t="s">
        <v>42</v>
      </c>
      <c r="X148" t="s">
        <v>310</v>
      </c>
    </row>
    <row r="149" spans="1:24" x14ac:dyDescent="0.25">
      <c r="A149">
        <v>148</v>
      </c>
      <c r="B149" t="s">
        <v>1529</v>
      </c>
      <c r="C149" t="s">
        <v>1385</v>
      </c>
      <c r="D149" t="s">
        <v>64</v>
      </c>
      <c r="E149" t="s">
        <v>657</v>
      </c>
      <c r="F149" t="s">
        <v>1378</v>
      </c>
      <c r="G149" t="s">
        <v>40</v>
      </c>
      <c r="H149" t="s">
        <v>66</v>
      </c>
      <c r="I149" t="s">
        <v>272</v>
      </c>
      <c r="J149">
        <v>190</v>
      </c>
      <c r="K149">
        <v>44</v>
      </c>
      <c r="L149">
        <v>35</v>
      </c>
      <c r="M149">
        <v>199</v>
      </c>
      <c r="N149">
        <v>30</v>
      </c>
      <c r="O149">
        <v>300</v>
      </c>
      <c r="P149">
        <v>4225</v>
      </c>
      <c r="Q149">
        <v>5492</v>
      </c>
      <c r="R149">
        <v>840775</v>
      </c>
      <c r="S149">
        <v>3.9</v>
      </c>
      <c r="T149">
        <v>23</v>
      </c>
      <c r="U149" t="s">
        <v>272</v>
      </c>
      <c r="V149" t="s">
        <v>1530</v>
      </c>
      <c r="W149" t="s">
        <v>50</v>
      </c>
      <c r="X149" t="s">
        <v>310</v>
      </c>
    </row>
    <row r="150" spans="1:24" x14ac:dyDescent="0.25">
      <c r="A150">
        <v>149</v>
      </c>
      <c r="B150" t="s">
        <v>1531</v>
      </c>
      <c r="C150" t="s">
        <v>1377</v>
      </c>
      <c r="D150" t="s">
        <v>56</v>
      </c>
      <c r="E150" t="s">
        <v>674</v>
      </c>
      <c r="F150" t="s">
        <v>1383</v>
      </c>
      <c r="G150" t="s">
        <v>49</v>
      </c>
      <c r="H150" t="s">
        <v>49</v>
      </c>
      <c r="I150" t="s">
        <v>273</v>
      </c>
      <c r="J150">
        <v>24</v>
      </c>
      <c r="K150">
        <v>24</v>
      </c>
      <c r="L150">
        <v>6</v>
      </c>
      <c r="M150">
        <v>42</v>
      </c>
      <c r="N150">
        <v>30</v>
      </c>
      <c r="O150">
        <v>300</v>
      </c>
      <c r="P150">
        <v>4160</v>
      </c>
      <c r="Q150">
        <v>5408</v>
      </c>
      <c r="R150">
        <v>174720</v>
      </c>
      <c r="S150">
        <v>4.7</v>
      </c>
      <c r="T150">
        <v>5</v>
      </c>
      <c r="U150" t="s">
        <v>273</v>
      </c>
      <c r="V150" t="s">
        <v>1532</v>
      </c>
      <c r="W150" t="s">
        <v>29</v>
      </c>
      <c r="X150" t="s">
        <v>310</v>
      </c>
    </row>
    <row r="151" spans="1:24" x14ac:dyDescent="0.25">
      <c r="A151">
        <v>150</v>
      </c>
      <c r="B151" t="s">
        <v>1533</v>
      </c>
      <c r="C151" t="s">
        <v>1377</v>
      </c>
      <c r="D151" t="s">
        <v>56</v>
      </c>
      <c r="E151" t="s">
        <v>680</v>
      </c>
      <c r="F151" t="s">
        <v>1378</v>
      </c>
      <c r="G151" t="s">
        <v>27</v>
      </c>
      <c r="H151" t="s">
        <v>27</v>
      </c>
      <c r="I151" t="s">
        <v>274</v>
      </c>
      <c r="J151">
        <v>179</v>
      </c>
      <c r="K151">
        <v>17</v>
      </c>
      <c r="L151">
        <v>45</v>
      </c>
      <c r="M151">
        <v>151</v>
      </c>
      <c r="N151">
        <v>30</v>
      </c>
      <c r="O151">
        <v>300</v>
      </c>
      <c r="P151">
        <v>4763</v>
      </c>
      <c r="Q151">
        <v>6191</v>
      </c>
      <c r="R151">
        <v>719213</v>
      </c>
      <c r="S151">
        <v>2.7</v>
      </c>
      <c r="T151">
        <v>42</v>
      </c>
      <c r="U151" t="s">
        <v>274</v>
      </c>
      <c r="V151" t="s">
        <v>1361</v>
      </c>
      <c r="W151" t="s">
        <v>50</v>
      </c>
      <c r="X151" t="s">
        <v>310</v>
      </c>
    </row>
    <row r="156" spans="1:24" x14ac:dyDescent="0.25">
      <c r="A156" t="s">
        <v>275</v>
      </c>
    </row>
    <row r="157" spans="1:24" x14ac:dyDescent="0.25">
      <c r="A157" t="s">
        <v>20</v>
      </c>
    </row>
    <row r="158" spans="1:24" x14ac:dyDescent="0.25">
      <c r="A158" t="s">
        <v>22</v>
      </c>
    </row>
    <row r="159" spans="1:24" x14ac:dyDescent="0.25">
      <c r="A159" t="s">
        <v>276</v>
      </c>
    </row>
    <row r="160" spans="1:24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Vendas</vt:lpstr>
      <vt:lpstr>RH</vt:lpstr>
      <vt:lpstr>Financeiro</vt:lpstr>
      <vt:lpstr>recalaculo</vt:lpstr>
      <vt:lpstr>dashboard</vt:lpstr>
      <vt:lpstr>Sexo dos estudantes</vt:lpstr>
      <vt:lpstr>Plan4</vt:lpstr>
      <vt:lpstr>Académico</vt:lpstr>
      <vt:lpstr>Hospital</vt:lpstr>
      <vt:lpstr>Stock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Fabiao Mungai Fabiao</cp:lastModifiedBy>
  <dcterms:created xsi:type="dcterms:W3CDTF">2026-06-28T14:35:13Z</dcterms:created>
  <dcterms:modified xsi:type="dcterms:W3CDTF">2026-06-30T08:39:32Z</dcterms:modified>
</cp:coreProperties>
</file>