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dos M-P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T&quot;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1A1A1A"/>
      <sz val="18"/>
    </font>
    <font>
      <name val="Segoe UI"/>
      <i val="1"/>
      <color rgb="00555555"/>
      <sz val="10"/>
    </font>
    <font>
      <name val="Segoe UI"/>
      <b val="1"/>
      <color rgb="00666666"/>
      <sz val="9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222222"/>
      <sz val="13"/>
    </font>
    <font>
      <name val="Segoe U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E6F4EA"/>
        <bgColor rgb="00E6F4EA"/>
      </patternFill>
    </fill>
    <fill>
      <patternFill patternType="solid">
        <fgColor rgb="00F8F9FA"/>
        <bgColor rgb="00F8F9FA"/>
      </patternFill>
    </fill>
    <fill>
      <patternFill patternType="solid">
        <fgColor rgb="00FCE8E6"/>
        <bgColor rgb="00FCE8E6"/>
      </patternFill>
    </fill>
    <fill>
      <patternFill patternType="solid">
        <fgColor rgb="00F1F3F5"/>
        <bgColor rgb="00F1F3F5"/>
      </patternFill>
    </fill>
  </fills>
  <borders count="2">
    <border>
      <left/>
      <right/>
      <top/>
      <bottom/>
      <diagonal/>
    </border>
    <border>
      <left style="thin">
        <color rgb="00DDE1E5"/>
      </left>
      <right style="thin">
        <color rgb="00DDE1E5"/>
      </right>
      <top style="thin">
        <color rgb="00DDE1E5"/>
      </top>
      <bottom style="thin">
        <color rgb="00DDE1E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164" fontId="3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164" fontId="9" fillId="4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Análise de Fluxo Mensal (Entradas vs Saídas)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'Dashboard'!$B$11:$B$22</f>
            </numRef>
          </cat>
          <val>
            <numRef>
              <f>'Dashboard'!$C$11:$C$22</f>
            </numRef>
          </val>
        </ser>
        <ser>
          <idx val="1"/>
          <order val="1"/>
          <tx>
            <strRef>
              <f>'Dashboard'!D10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'Dashboard'!$B$11:$B$22</f>
            </numRef>
          </cat>
          <val>
            <numRef>
              <f>'Dashboard'!$D$11:$D$22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Valores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22" customWidth="1" min="3" max="3"/>
    <col width="22" customWidth="1" min="4" max="4"/>
    <col width="18" customWidth="1" min="5" max="5"/>
    <col width="5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/>
    <row r="2">
      <c r="B2" s="1" t="inlineStr">
        <is>
          <t>Análise Financeira M-Pesa</t>
        </is>
      </c>
    </row>
    <row r="3">
      <c r="B3" s="2" t="inlineStr">
        <is>
          <t>Baseado no modelo analítico Monex | Ano Corrente</t>
        </is>
      </c>
    </row>
    <row r="4"/>
    <row r="5">
      <c r="B5" s="3" t="inlineStr">
        <is>
          <t>TOTAL ENTRADAS</t>
        </is>
      </c>
      <c r="C5" s="4" t="n"/>
      <c r="D5" s="4" t="n"/>
      <c r="F5" s="3" t="inlineStr">
        <is>
          <t>TOTAL SAÍDAS</t>
        </is>
      </c>
      <c r="G5" s="4" t="n"/>
      <c r="H5" s="4" t="n"/>
      <c r="J5" s="3" t="inlineStr">
        <is>
          <t>SALDO LÍQUIDO</t>
        </is>
      </c>
      <c r="K5" s="4" t="n"/>
      <c r="L5" s="4" t="n"/>
    </row>
    <row r="6">
      <c r="B6" s="5">
        <f>'Dados M-Pesa'!B7</f>
        <v/>
      </c>
      <c r="C6" s="4" t="n"/>
      <c r="D6" s="4" t="n"/>
      <c r="F6" s="5">
        <f>'Dados M-Pesa'!C7</f>
        <v/>
      </c>
      <c r="G6" s="4" t="n"/>
      <c r="H6" s="4" t="n"/>
      <c r="J6" s="5">
        <f>B6-F6</f>
        <v/>
      </c>
      <c r="K6" s="4" t="n"/>
      <c r="L6" s="4" t="n"/>
    </row>
    <row r="7">
      <c r="B7" s="6" t="inlineStr">
        <is>
          <t>+8.7%</t>
        </is>
      </c>
      <c r="C7" s="7" t="n"/>
      <c r="D7" s="7" t="n"/>
      <c r="F7" s="8" t="inlineStr">
        <is>
          <t>-6.3%</t>
        </is>
      </c>
      <c r="G7" s="7" t="n"/>
      <c r="H7" s="7" t="n"/>
      <c r="J7" s="6" t="inlineStr">
        <is>
          <t>+21.4%</t>
        </is>
      </c>
      <c r="K7" s="7" t="n"/>
      <c r="L7" s="7" t="n"/>
    </row>
    <row r="8"/>
    <row r="9">
      <c r="B9" s="9" t="inlineStr">
        <is>
          <t>Resumo dos Fluxos de Caixa</t>
        </is>
      </c>
    </row>
    <row r="10">
      <c r="B10" s="10" t="inlineStr">
        <is>
          <t>Mês</t>
        </is>
      </c>
      <c r="C10" s="10" t="inlineStr">
        <is>
          <t>Entradas</t>
        </is>
      </c>
      <c r="D10" s="10" t="inlineStr">
        <is>
          <t>Saídas</t>
        </is>
      </c>
      <c r="E10" s="10" t="inlineStr">
        <is>
          <t>Líquido</t>
        </is>
      </c>
    </row>
    <row r="11">
      <c r="B11" s="11">
        <f>'Dados M-Pesa'!A2</f>
        <v/>
      </c>
      <c r="C11" s="12">
        <f>'Dados M-Pesa'!B2</f>
        <v/>
      </c>
      <c r="D11" s="12">
        <f>'Dados M-Pesa'!C2</f>
        <v/>
      </c>
      <c r="E11" s="12">
        <f>C11-D11</f>
        <v/>
      </c>
    </row>
    <row r="12">
      <c r="B12" s="13">
        <f>'Dados M-Pesa'!A3</f>
        <v/>
      </c>
      <c r="C12" s="14">
        <f>'Dados M-Pesa'!B3</f>
        <v/>
      </c>
      <c r="D12" s="14">
        <f>'Dados M-Pesa'!C3</f>
        <v/>
      </c>
      <c r="E12" s="14">
        <f>C12-D12</f>
        <v/>
      </c>
    </row>
    <row r="13">
      <c r="B13" s="11">
        <f>'Dados M-Pesa'!A4</f>
        <v/>
      </c>
      <c r="C13" s="12">
        <f>'Dados M-Pesa'!B4</f>
        <v/>
      </c>
      <c r="D13" s="12">
        <f>'Dados M-Pesa'!C4</f>
        <v/>
      </c>
      <c r="E13" s="12">
        <f>C13-D13</f>
        <v/>
      </c>
    </row>
    <row r="14">
      <c r="B14" s="13">
        <f>'Dados M-Pesa'!A5</f>
        <v/>
      </c>
      <c r="C14" s="14">
        <f>'Dados M-Pesa'!B5</f>
        <v/>
      </c>
      <c r="D14" s="14">
        <f>'Dados M-Pesa'!C5</f>
        <v/>
      </c>
      <c r="E14" s="14">
        <f>C14-D14</f>
        <v/>
      </c>
    </row>
    <row r="15">
      <c r="B15" s="11">
        <f>'Dados M-Pesa'!A6</f>
        <v/>
      </c>
      <c r="C15" s="12">
        <f>'Dados M-Pesa'!B6</f>
        <v/>
      </c>
      <c r="D15" s="12">
        <f>'Dados M-Pesa'!C6</f>
        <v/>
      </c>
      <c r="E15" s="12">
        <f>C15-D15</f>
        <v/>
      </c>
    </row>
    <row r="16">
      <c r="B16" s="13">
        <f>'Dados M-Pesa'!A7</f>
        <v/>
      </c>
      <c r="C16" s="14">
        <f>'Dados M-Pesa'!B7</f>
        <v/>
      </c>
      <c r="D16" s="14">
        <f>'Dados M-Pesa'!C7</f>
        <v/>
      </c>
      <c r="E16" s="14">
        <f>C16-D16</f>
        <v/>
      </c>
    </row>
    <row r="17">
      <c r="B17" s="11">
        <f>'Dados M-Pesa'!A8</f>
        <v/>
      </c>
      <c r="C17" s="12">
        <f>'Dados M-Pesa'!B8</f>
        <v/>
      </c>
      <c r="D17" s="12">
        <f>'Dados M-Pesa'!C8</f>
        <v/>
      </c>
      <c r="E17" s="12">
        <f>C17-D17</f>
        <v/>
      </c>
    </row>
    <row r="18">
      <c r="B18" s="13">
        <f>'Dados M-Pesa'!A9</f>
        <v/>
      </c>
      <c r="C18" s="14">
        <f>'Dados M-Pesa'!B9</f>
        <v/>
      </c>
      <c r="D18" s="14">
        <f>'Dados M-Pesa'!C9</f>
        <v/>
      </c>
      <c r="E18" s="14">
        <f>C18-D18</f>
        <v/>
      </c>
    </row>
    <row r="19">
      <c r="B19" s="11">
        <f>'Dados M-Pesa'!A10</f>
        <v/>
      </c>
      <c r="C19" s="12">
        <f>'Dados M-Pesa'!B10</f>
        <v/>
      </c>
      <c r="D19" s="12">
        <f>'Dados M-Pesa'!C10</f>
        <v/>
      </c>
      <c r="E19" s="12">
        <f>C19-D19</f>
        <v/>
      </c>
    </row>
    <row r="20">
      <c r="B20" s="13">
        <f>'Dados M-Pesa'!A11</f>
        <v/>
      </c>
      <c r="C20" s="14">
        <f>'Dados M-Pesa'!B11</f>
        <v/>
      </c>
      <c r="D20" s="14">
        <f>'Dados M-Pesa'!C11</f>
        <v/>
      </c>
      <c r="E20" s="14">
        <f>C20-D20</f>
        <v/>
      </c>
    </row>
    <row r="21">
      <c r="B21" s="11">
        <f>'Dados M-Pesa'!A12</f>
        <v/>
      </c>
      <c r="C21" s="12">
        <f>'Dados M-Pesa'!B12</f>
        <v/>
      </c>
      <c r="D21" s="12">
        <f>'Dados M-Pesa'!C12</f>
        <v/>
      </c>
      <c r="E21" s="12">
        <f>C21-D21</f>
        <v/>
      </c>
    </row>
    <row r="22">
      <c r="B22" s="13">
        <f>'Dados M-Pesa'!A13</f>
        <v/>
      </c>
      <c r="C22" s="14">
        <f>'Dados M-Pesa'!B13</f>
        <v/>
      </c>
      <c r="D22" s="14">
        <f>'Dados M-Pesa'!C13</f>
        <v/>
      </c>
      <c r="E22" s="14">
        <f>C22-D22</f>
        <v/>
      </c>
    </row>
    <row r="23">
      <c r="B23" s="15" t="inlineStr">
        <is>
          <t>Total Ano</t>
        </is>
      </c>
      <c r="C23" s="16">
        <f>SUM(C11:C22)</f>
        <v/>
      </c>
      <c r="D23" s="16">
        <f>SUM(D11:D22)</f>
        <v/>
      </c>
      <c r="E23" s="16">
        <f>SUM(E11:E22)</f>
        <v/>
      </c>
    </row>
  </sheetData>
  <mergeCells count="9">
    <mergeCell ref="J7:L7"/>
    <mergeCell ref="J5:L5"/>
    <mergeCell ref="J6:L6"/>
    <mergeCell ref="B5:D5"/>
    <mergeCell ref="F6:H6"/>
    <mergeCell ref="F5:H5"/>
    <mergeCell ref="F7:H7"/>
    <mergeCell ref="B7:D7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6" customWidth="1" min="5" max="5"/>
    <col width="14" customWidth="1" min="6" max="6"/>
    <col width="21" customWidth="1" min="7" max="7"/>
    <col width="22" customWidth="1" min="8" max="8"/>
    <col width="16" customWidth="1" min="9" max="9"/>
    <col width="19" customWidth="1" min="10" max="10"/>
  </cols>
  <sheetData>
    <row r="1">
      <c r="A1" s="10" t="inlineStr">
        <is>
          <t>Mês</t>
        </is>
      </c>
      <c r="B1" s="10" t="inlineStr">
        <is>
          <t>Entradas (MT)</t>
        </is>
      </c>
      <c r="C1" s="10" t="inlineStr">
        <is>
          <t>Saídas (MT)</t>
        </is>
      </c>
      <c r="D1" s="10" t="inlineStr">
        <is>
          <t>Salário (MT)</t>
        </is>
      </c>
      <c r="E1" s="10" t="inlineStr">
        <is>
          <t>Negócios (MT)</t>
        </is>
      </c>
      <c r="F1" s="10" t="inlineStr">
        <is>
          <t>Outros (MT)</t>
        </is>
      </c>
      <c r="G1" s="10" t="inlineStr">
        <is>
          <t>Levantamentos (MT)</t>
        </is>
      </c>
      <c r="H1" s="10" t="inlineStr">
        <is>
          <t>Transferências (MT)</t>
        </is>
      </c>
      <c r="I1" s="10" t="inlineStr">
        <is>
          <t>Credelec (MT)</t>
        </is>
      </c>
      <c r="J1" s="10" t="inlineStr">
        <is>
          <t>Alimentação (MT)</t>
        </is>
      </c>
    </row>
    <row r="2">
      <c r="A2" s="11" t="inlineStr">
        <is>
          <t>Jan</t>
        </is>
      </c>
      <c r="B2" s="17" t="n">
        <v>320000</v>
      </c>
      <c r="C2" s="17" t="n">
        <v>280000</v>
      </c>
      <c r="D2" s="17" t="n">
        <v>142000</v>
      </c>
      <c r="E2" s="17" t="n">
        <v>120000</v>
      </c>
      <c r="F2" s="17" t="n">
        <v>58000</v>
      </c>
      <c r="G2" s="17" t="n">
        <v>112000</v>
      </c>
      <c r="H2" s="17" t="n">
        <v>70000</v>
      </c>
      <c r="I2" s="17" t="n">
        <v>56000</v>
      </c>
      <c r="J2" s="17" t="n">
        <v>42000</v>
      </c>
    </row>
    <row r="3">
      <c r="A3" s="11" t="inlineStr">
        <is>
          <t>Fev</t>
        </is>
      </c>
      <c r="B3" s="17" t="n">
        <v>310000</v>
      </c>
      <c r="C3" s="17" t="n">
        <v>290000</v>
      </c>
      <c r="D3" s="17" t="n">
        <v>142000</v>
      </c>
      <c r="E3" s="17" t="n">
        <v>110000</v>
      </c>
      <c r="F3" s="17" t="n">
        <v>58000</v>
      </c>
      <c r="G3" s="17" t="n">
        <v>116000</v>
      </c>
      <c r="H3" s="17" t="n">
        <v>72500</v>
      </c>
      <c r="I3" s="17" t="n">
        <v>58000</v>
      </c>
      <c r="J3" s="17" t="n">
        <v>43500</v>
      </c>
    </row>
    <row r="4">
      <c r="A4" s="11" t="inlineStr">
        <is>
          <t>Mar</t>
        </is>
      </c>
      <c r="B4" s="17" t="n">
        <v>340000</v>
      </c>
      <c r="C4" s="17" t="n">
        <v>310000</v>
      </c>
      <c r="D4" s="17" t="n">
        <v>142000</v>
      </c>
      <c r="E4" s="17" t="n">
        <v>130000</v>
      </c>
      <c r="F4" s="17" t="n">
        <v>68000</v>
      </c>
      <c r="G4" s="17" t="n">
        <v>124000</v>
      </c>
      <c r="H4" s="17" t="n">
        <v>77500</v>
      </c>
      <c r="I4" s="17" t="n">
        <v>62000</v>
      </c>
      <c r="J4" s="17" t="n">
        <v>46500</v>
      </c>
    </row>
    <row r="5">
      <c r="A5" s="11" t="inlineStr">
        <is>
          <t>Abr</t>
        </is>
      </c>
      <c r="B5" s="17" t="n">
        <v>305000</v>
      </c>
      <c r="C5" s="17" t="n">
        <v>295000</v>
      </c>
      <c r="D5" s="17" t="n">
        <v>142000</v>
      </c>
      <c r="E5" s="17" t="n">
        <v>100000</v>
      </c>
      <c r="F5" s="17" t="n">
        <v>63000</v>
      </c>
      <c r="G5" s="17" t="n">
        <v>118000</v>
      </c>
      <c r="H5" s="17" t="n">
        <v>73750</v>
      </c>
      <c r="I5" s="17" t="n">
        <v>59000</v>
      </c>
      <c r="J5" s="17" t="n">
        <v>44250</v>
      </c>
    </row>
    <row r="6">
      <c r="A6" s="11" t="inlineStr">
        <is>
          <t>Mai</t>
        </is>
      </c>
      <c r="B6" s="17" t="n">
        <v>33800.75</v>
      </c>
      <c r="C6" s="17" t="n">
        <v>32600.89</v>
      </c>
      <c r="D6" s="17" t="n">
        <v>15000</v>
      </c>
      <c r="E6" s="17" t="n">
        <v>12000</v>
      </c>
      <c r="F6" s="17" t="n">
        <v>6800.75</v>
      </c>
      <c r="G6" s="17" t="n">
        <v>13040.35</v>
      </c>
      <c r="H6" s="17" t="n">
        <v>8150.22</v>
      </c>
      <c r="I6" s="17" t="n">
        <v>6520.18</v>
      </c>
      <c r="J6" s="17" t="n">
        <v>4890.14</v>
      </c>
    </row>
    <row r="7">
      <c r="A7" s="11" t="inlineStr">
        <is>
          <t>Jun</t>
        </is>
      </c>
      <c r="B7" s="17" t="n">
        <v>384567.45</v>
      </c>
      <c r="C7" s="17" t="n">
        <v>328942.6</v>
      </c>
      <c r="D7" s="17" t="n">
        <v>142000</v>
      </c>
      <c r="E7" s="17" t="n">
        <v>168000</v>
      </c>
      <c r="F7" s="17" t="n">
        <v>74567.45</v>
      </c>
      <c r="G7" s="17" t="n">
        <v>131577.04</v>
      </c>
      <c r="H7" s="17" t="n">
        <v>82235.64999999999</v>
      </c>
      <c r="I7" s="17" t="n">
        <v>65788.52</v>
      </c>
      <c r="J7" s="17" t="n">
        <v>32941.39</v>
      </c>
    </row>
    <row r="8">
      <c r="A8" s="11" t="inlineStr">
        <is>
          <t>Jul</t>
        </is>
      </c>
      <c r="B8" s="17" t="n">
        <v>350000</v>
      </c>
      <c r="C8" s="17" t="n">
        <v>310000</v>
      </c>
      <c r="D8" s="17" t="n">
        <v>142000</v>
      </c>
      <c r="E8" s="17" t="n">
        <v>140000</v>
      </c>
      <c r="F8" s="17" t="n">
        <v>68000</v>
      </c>
      <c r="G8" s="17" t="n">
        <v>124000</v>
      </c>
      <c r="H8" s="17" t="n">
        <v>77500</v>
      </c>
      <c r="I8" s="17" t="n">
        <v>62000</v>
      </c>
      <c r="J8" s="17" t="n">
        <v>46500</v>
      </c>
    </row>
    <row r="9">
      <c r="A9" s="11" t="inlineStr">
        <is>
          <t>Ago</t>
        </is>
      </c>
      <c r="B9" s="17" t="n">
        <v>360000</v>
      </c>
      <c r="C9" s="17" t="n">
        <v>315000</v>
      </c>
      <c r="D9" s="17" t="n">
        <v>142000</v>
      </c>
      <c r="E9" s="17" t="n">
        <v>145000</v>
      </c>
      <c r="F9" s="17" t="n">
        <v>73000</v>
      </c>
      <c r="G9" s="17" t="n">
        <v>126000</v>
      </c>
      <c r="H9" s="17" t="n">
        <v>78750</v>
      </c>
      <c r="I9" s="17" t="n">
        <v>63000</v>
      </c>
      <c r="J9" s="17" t="n">
        <v>47250</v>
      </c>
    </row>
    <row r="10">
      <c r="A10" s="11" t="inlineStr">
        <is>
          <t>Set</t>
        </is>
      </c>
      <c r="B10" s="17" t="n">
        <v>345000</v>
      </c>
      <c r="C10" s="17" t="n">
        <v>320000</v>
      </c>
      <c r="D10" s="17" t="n">
        <v>142000</v>
      </c>
      <c r="E10" s="17" t="n">
        <v>135000</v>
      </c>
      <c r="F10" s="17" t="n">
        <v>68000</v>
      </c>
      <c r="G10" s="17" t="n">
        <v>128000</v>
      </c>
      <c r="H10" s="17" t="n">
        <v>80000</v>
      </c>
      <c r="I10" s="17" t="n">
        <v>64000</v>
      </c>
      <c r="J10" s="17" t="n">
        <v>48000</v>
      </c>
    </row>
    <row r="11">
      <c r="A11" s="11" t="inlineStr">
        <is>
          <t>Out</t>
        </is>
      </c>
      <c r="B11" s="17" t="n">
        <v>370000</v>
      </c>
      <c r="C11" s="17" t="n">
        <v>330000</v>
      </c>
      <c r="D11" s="17" t="n">
        <v>142000</v>
      </c>
      <c r="E11" s="17" t="n">
        <v>150000</v>
      </c>
      <c r="F11" s="17" t="n">
        <v>78000</v>
      </c>
      <c r="G11" s="17" t="n">
        <v>132000</v>
      </c>
      <c r="H11" s="17" t="n">
        <v>82500</v>
      </c>
      <c r="I11" s="17" t="n">
        <v>66000</v>
      </c>
      <c r="J11" s="17" t="n">
        <v>49500</v>
      </c>
    </row>
    <row r="12">
      <c r="A12" s="11" t="inlineStr">
        <is>
          <t>Nov</t>
        </is>
      </c>
      <c r="B12" s="17" t="n">
        <v>365000</v>
      </c>
      <c r="C12" s="17" t="n">
        <v>325000</v>
      </c>
      <c r="D12" s="17" t="n">
        <v>142000</v>
      </c>
      <c r="E12" s="17" t="n">
        <v>148000</v>
      </c>
      <c r="F12" s="17" t="n">
        <v>75000</v>
      </c>
      <c r="G12" s="17" t="n">
        <v>130000</v>
      </c>
      <c r="H12" s="17" t="n">
        <v>81250</v>
      </c>
      <c r="I12" s="17" t="n">
        <v>65000</v>
      </c>
      <c r="J12" s="17" t="n">
        <v>48750</v>
      </c>
    </row>
    <row r="13">
      <c r="A13" s="11" t="inlineStr">
        <is>
          <t>Dez</t>
        </is>
      </c>
      <c r="B13" s="17" t="n">
        <v>390000</v>
      </c>
      <c r="C13" s="17" t="n">
        <v>340000</v>
      </c>
      <c r="D13" s="17" t="n">
        <v>142000</v>
      </c>
      <c r="E13" s="17" t="n">
        <v>160000</v>
      </c>
      <c r="F13" s="17" t="n">
        <v>88000</v>
      </c>
      <c r="G13" s="17" t="n">
        <v>136000</v>
      </c>
      <c r="H13" s="17" t="n">
        <v>85000</v>
      </c>
      <c r="I13" s="17" t="n">
        <v>68000</v>
      </c>
      <c r="J13" s="17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2026-06-26T21:30:45Z</dcterms:created>
  <dcterms:modified xmlns:dcterms="http://purl.org/dc/terms/" xmlns:xsi="http://www.w3.org/2001/XMLSchema-instance" xsi:type="dcterms:W3CDTF">2026-06-26T21:30:45Z</dcterms:modified>
</cp:coreProperties>
</file>